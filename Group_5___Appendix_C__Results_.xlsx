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17A1BFA-A373-414A-8896-AF681D9AEAC5}" xr6:coauthVersionLast="47" xr6:coauthVersionMax="47" xr10:uidLastSave="{00000000-0000-0000-0000-000000000000}"/>
  <bookViews>
    <workbookView xWindow="-120" yWindow="-120" windowWidth="20730" windowHeight="11040" xr2:uid="{EE6EBD7F-3AC9-4828-8F20-F95A2C3E50AA}"/>
  </bookViews>
  <sheets>
    <sheet name="Calculations" sheetId="28" r:id="rId1"/>
    <sheet name="Overview" sheetId="27" r:id="rId2"/>
    <sheet name="Old Calculations" sheetId="1" state="hidden" r:id="rId3"/>
    <sheet name="Base case" sheetId="2" r:id="rId4"/>
    <sheet name="Base -20%" sheetId="8" r:id="rId5"/>
    <sheet name="Scenario 1" sheetId="3" r:id="rId6"/>
    <sheet name="Scenario 1 +20%" sheetId="9" r:id="rId7"/>
    <sheet name="Scenario 2" sheetId="4" r:id="rId8"/>
    <sheet name="Scenario 2 -20%" sheetId="10" r:id="rId9"/>
    <sheet name="Scenario 2 +20%" sheetId="14" r:id="rId10"/>
    <sheet name="Scenario 3" sheetId="5" r:id="rId11"/>
    <sheet name="Scenario 3 -20%" sheetId="11" r:id="rId12"/>
    <sheet name="Scenario 3 +20%" sheetId="13" r:id="rId13"/>
    <sheet name="Scenario 4" sheetId="6" r:id="rId14"/>
    <sheet name="Scenario -20%" sheetId="15" r:id="rId15"/>
    <sheet name="Scenario +20%" sheetId="18" r:id="rId16"/>
    <sheet name="Scenario 5" sheetId="7" r:id="rId17"/>
    <sheet name="Scenario 5 -20%" sheetId="16" r:id="rId18"/>
    <sheet name="Scenario 5 +20" sheetId="17" r:id="rId19"/>
    <sheet name="Basecase updated1" sheetId="23" r:id="rId20"/>
    <sheet name="Scenario 1 Updated" sheetId="24" r:id="rId21"/>
    <sheet name="Scenario 2 Updated" sheetId="20" r:id="rId22"/>
    <sheet name="Scenario 3 Updated" sheetId="21" r:id="rId23"/>
    <sheet name="Scenario 4 Updated" sheetId="22" r:id="rId24"/>
    <sheet name="Scenario 5 Updated" sheetId="19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7" l="1"/>
  <c r="C15" i="27"/>
  <c r="C14" i="27"/>
  <c r="Q5" i="27"/>
  <c r="S3" i="27"/>
  <c r="S4" i="27"/>
  <c r="S5" i="27"/>
  <c r="R4" i="27"/>
  <c r="R5" i="27"/>
  <c r="R3" i="27"/>
  <c r="E58" i="28"/>
  <c r="E59" i="28"/>
  <c r="B59" i="28"/>
  <c r="B58" i="28"/>
  <c r="F52" i="28"/>
  <c r="G52" i="28"/>
  <c r="F54" i="28"/>
  <c r="G54" i="28"/>
  <c r="B54" i="28"/>
  <c r="C54" i="28"/>
  <c r="D54" i="28"/>
  <c r="B52" i="28"/>
  <c r="C52" i="28"/>
  <c r="D52" i="28"/>
  <c r="E54" i="28"/>
  <c r="E52" i="28"/>
  <c r="C68" i="28"/>
  <c r="E55" i="28"/>
  <c r="E44" i="28"/>
  <c r="E11" i="28"/>
  <c r="G116" i="28"/>
  <c r="G115" i="28"/>
  <c r="G15" i="27"/>
  <c r="H116" i="28"/>
  <c r="D111" i="28" l="1"/>
  <c r="D112" i="28"/>
  <c r="D113" i="28"/>
  <c r="D114" i="28"/>
  <c r="D115" i="28"/>
  <c r="D110" i="28"/>
  <c r="C111" i="28"/>
  <c r="C112" i="28"/>
  <c r="C113" i="28"/>
  <c r="C114" i="28"/>
  <c r="C115" i="28"/>
  <c r="C110" i="28"/>
  <c r="B111" i="28"/>
  <c r="B112" i="28"/>
  <c r="B113" i="28"/>
  <c r="B114" i="28"/>
  <c r="B115" i="28"/>
  <c r="B110" i="28"/>
  <c r="L10" i="27"/>
  <c r="D13" i="27"/>
  <c r="G14" i="27"/>
  <c r="D15" i="27"/>
  <c r="E13" i="27" s="1"/>
  <c r="D14" i="27"/>
  <c r="J10" i="27"/>
  <c r="H6" i="28"/>
  <c r="H9" i="28"/>
  <c r="I14" i="28"/>
  <c r="I15" i="28"/>
  <c r="I16" i="28"/>
  <c r="I17" i="28"/>
  <c r="I18" i="28"/>
  <c r="I13" i="28"/>
  <c r="G5" i="28"/>
  <c r="H5" i="28" s="1"/>
  <c r="G6" i="28"/>
  <c r="G7" i="28"/>
  <c r="H7" i="28" s="1"/>
  <c r="G8" i="28"/>
  <c r="H8" i="28" s="1"/>
  <c r="G9" i="28"/>
  <c r="G4" i="28"/>
  <c r="H4" i="28" s="1"/>
  <c r="B46" i="28"/>
  <c r="D46" i="28"/>
  <c r="D49" i="28" s="1"/>
  <c r="E46" i="28"/>
  <c r="F46" i="28"/>
  <c r="G46" i="28"/>
  <c r="J46" i="28"/>
  <c r="L46" i="28"/>
  <c r="M46" i="28"/>
  <c r="O46" i="28"/>
  <c r="J47" i="28"/>
  <c r="K47" i="28"/>
  <c r="L47" i="28"/>
  <c r="M47" i="28"/>
  <c r="N47" i="28"/>
  <c r="N46" i="28" s="1"/>
  <c r="O47" i="28"/>
  <c r="D48" i="28"/>
  <c r="E48" i="28"/>
  <c r="F48" i="28"/>
  <c r="G48" i="28"/>
  <c r="J48" i="28"/>
  <c r="L48" i="28"/>
  <c r="M48" i="28"/>
  <c r="N48" i="28"/>
  <c r="O48" i="28"/>
  <c r="E49" i="28"/>
  <c r="F49" i="28"/>
  <c r="G49" i="28"/>
  <c r="K21" i="28"/>
  <c r="L22" i="28" s="1"/>
  <c r="K22" i="28"/>
  <c r="K23" i="28"/>
  <c r="L23" i="28"/>
  <c r="K24" i="28"/>
  <c r="K25" i="28"/>
  <c r="L25" i="28"/>
  <c r="O25" i="28"/>
  <c r="O28" i="28" s="1"/>
  <c r="P25" i="28"/>
  <c r="P28" i="28" s="1"/>
  <c r="Q25" i="28"/>
  <c r="R25" i="28"/>
  <c r="S25" i="28"/>
  <c r="S28" i="28" s="1"/>
  <c r="T25" i="28"/>
  <c r="T28" i="28" s="1"/>
  <c r="K26" i="28"/>
  <c r="L26" i="28"/>
  <c r="O26" i="28"/>
  <c r="P26" i="28"/>
  <c r="Q26" i="28"/>
  <c r="Q29" i="28" s="1"/>
  <c r="R26" i="28"/>
  <c r="S26" i="28"/>
  <c r="T26" i="28"/>
  <c r="O27" i="28"/>
  <c r="O30" i="28" s="1"/>
  <c r="P27" i="28"/>
  <c r="Q27" i="28"/>
  <c r="R27" i="28"/>
  <c r="R30" i="28" s="1"/>
  <c r="S27" i="28"/>
  <c r="S30" i="28" s="1"/>
  <c r="T27" i="28"/>
  <c r="T30" i="28" s="1"/>
  <c r="R28" i="28"/>
  <c r="O29" i="28"/>
  <c r="P29" i="28"/>
  <c r="R29" i="28"/>
  <c r="S29" i="28"/>
  <c r="T29" i="28"/>
  <c r="P30" i="28"/>
  <c r="O31" i="28"/>
  <c r="P31" i="28"/>
  <c r="Q31" i="28"/>
  <c r="R31" i="28"/>
  <c r="S31" i="28"/>
  <c r="T31" i="28"/>
  <c r="L32" i="28"/>
  <c r="L30" i="28" s="1"/>
  <c r="O32" i="28"/>
  <c r="P32" i="28"/>
  <c r="Q32" i="28"/>
  <c r="R32" i="28"/>
  <c r="S32" i="28"/>
  <c r="T32" i="28"/>
  <c r="L33" i="28"/>
  <c r="O33" i="28"/>
  <c r="P33" i="28"/>
  <c r="Q33" i="28"/>
  <c r="R33" i="28"/>
  <c r="S33" i="28"/>
  <c r="T33" i="28"/>
  <c r="J34" i="28"/>
  <c r="J35" i="28"/>
  <c r="L35" i="28" s="1"/>
  <c r="K35" i="28"/>
  <c r="K36" i="28" s="1"/>
  <c r="J37" i="28"/>
  <c r="B11" i="28"/>
  <c r="B12" i="28"/>
  <c r="C12" i="28"/>
  <c r="E12" i="28"/>
  <c r="G12" i="28"/>
  <c r="H12" i="28"/>
  <c r="B13" i="28"/>
  <c r="C13" i="28"/>
  <c r="D13" i="28" s="1"/>
  <c r="E13" i="28"/>
  <c r="F13" i="28"/>
  <c r="J13" i="28" s="1"/>
  <c r="G13" i="28"/>
  <c r="H13" i="28"/>
  <c r="B14" i="28"/>
  <c r="C14" i="28"/>
  <c r="D14" i="28" s="1"/>
  <c r="E14" i="28"/>
  <c r="F14" i="28"/>
  <c r="C47" i="28" s="1"/>
  <c r="G14" i="28"/>
  <c r="H14" i="28"/>
  <c r="B15" i="28"/>
  <c r="C15" i="28"/>
  <c r="D15" i="28" s="1"/>
  <c r="E15" i="28"/>
  <c r="F15" i="28"/>
  <c r="D47" i="28" s="1"/>
  <c r="G15" i="28"/>
  <c r="H15" i="28"/>
  <c r="B16" i="28"/>
  <c r="C16" i="28"/>
  <c r="D16" i="28" s="1"/>
  <c r="E16" i="28"/>
  <c r="F16" i="28"/>
  <c r="E47" i="28" s="1"/>
  <c r="G16" i="28"/>
  <c r="H16" i="28"/>
  <c r="B17" i="28"/>
  <c r="C17" i="28"/>
  <c r="D17" i="28" s="1"/>
  <c r="E17" i="28"/>
  <c r="F17" i="28"/>
  <c r="F47" i="28" s="1"/>
  <c r="G17" i="28"/>
  <c r="H17" i="28"/>
  <c r="B18" i="28"/>
  <c r="C18" i="28"/>
  <c r="D18" i="28" s="1"/>
  <c r="E18" i="28"/>
  <c r="F18" i="28"/>
  <c r="G47" i="28" s="1"/>
  <c r="G18" i="28"/>
  <c r="H18" i="28"/>
  <c r="F5" i="27"/>
  <c r="J14" i="27" s="1"/>
  <c r="H4" i="27"/>
  <c r="C4" i="27"/>
  <c r="H3" i="27"/>
  <c r="D3" i="27"/>
  <c r="C3" i="27"/>
  <c r="F57" i="1"/>
  <c r="G57" i="1"/>
  <c r="D57" i="1"/>
  <c r="F55" i="1"/>
  <c r="G55" i="1"/>
  <c r="D55" i="1"/>
  <c r="D59" i="1"/>
  <c r="D46" i="1"/>
  <c r="D48" i="1"/>
  <c r="P31" i="1"/>
  <c r="Q31" i="1"/>
  <c r="R31" i="1"/>
  <c r="S31" i="1"/>
  <c r="T31" i="1"/>
  <c r="P32" i="1"/>
  <c r="Q32" i="1"/>
  <c r="R32" i="1"/>
  <c r="S32" i="1"/>
  <c r="T32" i="1"/>
  <c r="P33" i="1"/>
  <c r="Q33" i="1"/>
  <c r="R33" i="1"/>
  <c r="S33" i="1"/>
  <c r="T33" i="1"/>
  <c r="O33" i="1"/>
  <c r="O32" i="1"/>
  <c r="O31" i="1"/>
  <c r="P28" i="1"/>
  <c r="Q28" i="1"/>
  <c r="R28" i="1"/>
  <c r="S28" i="1"/>
  <c r="T28" i="1"/>
  <c r="P29" i="1"/>
  <c r="Q29" i="1"/>
  <c r="R29" i="1"/>
  <c r="S29" i="1"/>
  <c r="T29" i="1"/>
  <c r="P30" i="1"/>
  <c r="Q30" i="1"/>
  <c r="R30" i="1"/>
  <c r="S30" i="1"/>
  <c r="T30" i="1"/>
  <c r="O30" i="1"/>
  <c r="O28" i="1"/>
  <c r="O29" i="1"/>
  <c r="P25" i="1"/>
  <c r="Q25" i="1"/>
  <c r="R25" i="1"/>
  <c r="S25" i="1"/>
  <c r="T25" i="1"/>
  <c r="P26" i="1"/>
  <c r="Q26" i="1"/>
  <c r="R26" i="1"/>
  <c r="S26" i="1"/>
  <c r="T26" i="1"/>
  <c r="P27" i="1"/>
  <c r="Q27" i="1"/>
  <c r="R27" i="1"/>
  <c r="S27" i="1"/>
  <c r="T27" i="1"/>
  <c r="O26" i="1"/>
  <c r="O27" i="1"/>
  <c r="O25" i="1"/>
  <c r="B52" i="1"/>
  <c r="C52" i="1"/>
  <c r="E52" i="1"/>
  <c r="F52" i="1"/>
  <c r="G52" i="1"/>
  <c r="D54" i="1"/>
  <c r="E47" i="1"/>
  <c r="E55" i="1" s="1"/>
  <c r="E48" i="1"/>
  <c r="E46" i="1"/>
  <c r="C55" i="1"/>
  <c r="C57" i="1"/>
  <c r="B57" i="1"/>
  <c r="B55" i="1"/>
  <c r="A14" i="19"/>
  <c r="A10" i="22"/>
  <c r="A4" i="21"/>
  <c r="A5" i="20"/>
  <c r="A12" i="24"/>
  <c r="A12" i="23"/>
  <c r="B46" i="1"/>
  <c r="G46" i="1"/>
  <c r="K35" i="1"/>
  <c r="L35" i="1" s="1"/>
  <c r="K106" i="15"/>
  <c r="J35" i="1"/>
  <c r="J34" i="1"/>
  <c r="L33" i="1"/>
  <c r="L32" i="1"/>
  <c r="J46" i="1"/>
  <c r="O46" i="1"/>
  <c r="O48" i="1"/>
  <c r="N48" i="1"/>
  <c r="M46" i="1"/>
  <c r="M48" i="1"/>
  <c r="L46" i="1"/>
  <c r="L48" i="1"/>
  <c r="C4" i="1"/>
  <c r="C13" i="1" s="1"/>
  <c r="G48" i="1"/>
  <c r="F48" i="1"/>
  <c r="F46" i="1"/>
  <c r="D5" i="8"/>
  <c r="A2" i="8"/>
  <c r="B11" i="1"/>
  <c r="H13" i="1"/>
  <c r="H14" i="1"/>
  <c r="H15" i="1"/>
  <c r="H16" i="1"/>
  <c r="H12" i="1"/>
  <c r="G12" i="1"/>
  <c r="E13" i="1"/>
  <c r="E14" i="1"/>
  <c r="E15" i="1"/>
  <c r="E16" i="1"/>
  <c r="E17" i="1"/>
  <c r="E18" i="1"/>
  <c r="E12" i="1"/>
  <c r="C12" i="1"/>
  <c r="B13" i="1"/>
  <c r="B14" i="1"/>
  <c r="B15" i="1"/>
  <c r="B16" i="1"/>
  <c r="B17" i="1"/>
  <c r="B18" i="1"/>
  <c r="B12" i="1"/>
  <c r="I9" i="1"/>
  <c r="I8" i="1"/>
  <c r="J4" i="1"/>
  <c r="J9" i="1"/>
  <c r="J8" i="1"/>
  <c r="J7" i="1"/>
  <c r="J6" i="1"/>
  <c r="J5" i="1"/>
  <c r="F9" i="1"/>
  <c r="H18" i="1" s="1"/>
  <c r="F8" i="1"/>
  <c r="H17" i="1" s="1"/>
  <c r="E9" i="1"/>
  <c r="G18" i="1" s="1"/>
  <c r="E8" i="1"/>
  <c r="G17" i="1" s="1"/>
  <c r="E7" i="1"/>
  <c r="G16" i="1" s="1"/>
  <c r="E6" i="1"/>
  <c r="G15" i="1" s="1"/>
  <c r="E5" i="1"/>
  <c r="G14" i="1" s="1"/>
  <c r="E4" i="1"/>
  <c r="G13" i="1" s="1"/>
  <c r="G9" i="1"/>
  <c r="D9" i="1"/>
  <c r="G8" i="1"/>
  <c r="D8" i="1"/>
  <c r="G7" i="1"/>
  <c r="D7" i="1"/>
  <c r="F16" i="1" s="1"/>
  <c r="G6" i="1"/>
  <c r="D6" i="1"/>
  <c r="F15" i="1" s="1"/>
  <c r="D5" i="1"/>
  <c r="H5" i="1" s="1"/>
  <c r="G4" i="1"/>
  <c r="D4" i="1"/>
  <c r="F13" i="1" s="1"/>
  <c r="C9" i="1"/>
  <c r="K26" i="1" s="1"/>
  <c r="C8" i="1"/>
  <c r="C17" i="1" s="1"/>
  <c r="C7" i="1"/>
  <c r="C16" i="1" s="1"/>
  <c r="C6" i="1"/>
  <c r="L47" i="1" s="1"/>
  <c r="C5" i="1"/>
  <c r="K47" i="1" s="1"/>
  <c r="C104" i="2"/>
  <c r="E54" i="1" l="1"/>
  <c r="E57" i="1"/>
  <c r="J21" i="28"/>
  <c r="I26" i="28"/>
  <c r="J26" i="28"/>
  <c r="I22" i="28"/>
  <c r="I24" i="28"/>
  <c r="J22" i="28"/>
  <c r="J24" i="28"/>
  <c r="I23" i="28"/>
  <c r="I25" i="28"/>
  <c r="I21" i="28"/>
  <c r="J23" i="28"/>
  <c r="J25" i="28"/>
  <c r="E57" i="28"/>
  <c r="F57" i="28"/>
  <c r="F55" i="28"/>
  <c r="C48" i="28"/>
  <c r="C57" i="28" s="1"/>
  <c r="C46" i="28"/>
  <c r="G57" i="28"/>
  <c r="G55" i="28"/>
  <c r="D57" i="28"/>
  <c r="D55" i="28"/>
  <c r="K34" i="28"/>
  <c r="L34" i="28" s="1"/>
  <c r="Q30" i="28"/>
  <c r="B47" i="28"/>
  <c r="B63" i="28"/>
  <c r="L24" i="28"/>
  <c r="G13" i="27"/>
  <c r="J18" i="28"/>
  <c r="J17" i="28"/>
  <c r="J16" i="28"/>
  <c r="J15" i="28"/>
  <c r="J14" i="28"/>
  <c r="Q28" i="28"/>
  <c r="D49" i="1"/>
  <c r="D52" i="1"/>
  <c r="D58" i="1" s="1"/>
  <c r="L30" i="1"/>
  <c r="F18" i="1"/>
  <c r="K24" i="1"/>
  <c r="G47" i="1"/>
  <c r="B47" i="1"/>
  <c r="J13" i="1"/>
  <c r="J15" i="1"/>
  <c r="D13" i="1"/>
  <c r="J16" i="1"/>
  <c r="D47" i="1"/>
  <c r="D17" i="1"/>
  <c r="C18" i="1"/>
  <c r="C15" i="1"/>
  <c r="F14" i="1"/>
  <c r="J47" i="1"/>
  <c r="J48" i="1" s="1"/>
  <c r="K36" i="1"/>
  <c r="K34" i="1" s="1"/>
  <c r="L34" i="1" s="1"/>
  <c r="K23" i="1"/>
  <c r="C14" i="1"/>
  <c r="D14" i="1" s="1"/>
  <c r="O47" i="1"/>
  <c r="J37" i="1"/>
  <c r="N47" i="1"/>
  <c r="N46" i="1" s="1"/>
  <c r="M47" i="1"/>
  <c r="K21" i="1"/>
  <c r="K22" i="1"/>
  <c r="K25" i="1"/>
  <c r="E49" i="1"/>
  <c r="B63" i="1"/>
  <c r="G49" i="1"/>
  <c r="F49" i="1"/>
  <c r="B49" i="1"/>
  <c r="B48" i="1"/>
  <c r="F17" i="1"/>
  <c r="H4" i="1"/>
  <c r="H7" i="1"/>
  <c r="H9" i="1"/>
  <c r="H8" i="1"/>
  <c r="H6" i="1"/>
  <c r="C55" i="28" l="1"/>
  <c r="C49" i="28"/>
  <c r="F50" i="28"/>
  <c r="F53" i="28" s="1"/>
  <c r="B64" i="28"/>
  <c r="G50" i="28"/>
  <c r="G53" i="28" s="1"/>
  <c r="B55" i="28"/>
  <c r="B48" i="28"/>
  <c r="B50" i="28"/>
  <c r="C50" i="28"/>
  <c r="C53" i="28" s="1"/>
  <c r="B49" i="28"/>
  <c r="D50" i="28"/>
  <c r="D53" i="28" s="1"/>
  <c r="E50" i="28"/>
  <c r="E53" i="28" s="1"/>
  <c r="D18" i="1"/>
  <c r="J17" i="1"/>
  <c r="F47" i="1"/>
  <c r="G50" i="1"/>
  <c r="G53" i="1" s="1"/>
  <c r="B64" i="1"/>
  <c r="D50" i="1"/>
  <c r="D53" i="1" s="1"/>
  <c r="B50" i="1"/>
  <c r="F50" i="1"/>
  <c r="F53" i="1" s="1"/>
  <c r="E50" i="1"/>
  <c r="E53" i="1" s="1"/>
  <c r="G54" i="1"/>
  <c r="I23" i="1"/>
  <c r="I22" i="1"/>
  <c r="I24" i="1"/>
  <c r="J21" i="1"/>
  <c r="I21" i="1"/>
  <c r="J22" i="1"/>
  <c r="J26" i="1"/>
  <c r="I25" i="1"/>
  <c r="I26" i="1"/>
  <c r="J23" i="1"/>
  <c r="J24" i="1"/>
  <c r="J25" i="1"/>
  <c r="L22" i="1"/>
  <c r="L23" i="1"/>
  <c r="L25" i="1"/>
  <c r="L26" i="1"/>
  <c r="L24" i="1"/>
  <c r="C63" i="1"/>
  <c r="D16" i="1"/>
  <c r="J14" i="1"/>
  <c r="C47" i="1"/>
  <c r="D15" i="1"/>
  <c r="J18" i="1"/>
  <c r="B54" i="1"/>
  <c r="B51" i="1"/>
  <c r="B65" i="1"/>
  <c r="D51" i="1"/>
  <c r="G51" i="1"/>
  <c r="E51" i="1"/>
  <c r="F51" i="1"/>
  <c r="C63" i="28" l="1"/>
  <c r="B51" i="28"/>
  <c r="B65" i="28"/>
  <c r="C64" i="28" s="1"/>
  <c r="C51" i="28"/>
  <c r="D51" i="28"/>
  <c r="E51" i="28"/>
  <c r="F51" i="28"/>
  <c r="G51" i="28"/>
  <c r="B57" i="28"/>
  <c r="C46" i="1"/>
  <c r="C48" i="1"/>
  <c r="C51" i="1" s="1"/>
  <c r="C54" i="1"/>
  <c r="C50" i="1"/>
  <c r="C53" i="1" s="1"/>
  <c r="C64" i="1"/>
  <c r="F54" i="1"/>
  <c r="C49" i="1" l="1"/>
</calcChain>
</file>

<file path=xl/sharedStrings.xml><?xml version="1.0" encoding="utf-8"?>
<sst xmlns="http://schemas.openxmlformats.org/spreadsheetml/2006/main" count="931" uniqueCount="305">
  <si>
    <t>Scenario</t>
  </si>
  <si>
    <t>CO2 emissions [kg]</t>
  </si>
  <si>
    <t>Bill from supplier [DKK]</t>
  </si>
  <si>
    <t>Cost of PV</t>
  </si>
  <si>
    <t>Cost of wind turbine</t>
  </si>
  <si>
    <t>Cost of PV and wind turbine [DKK]</t>
  </si>
  <si>
    <t>Total costs [DKK]</t>
  </si>
  <si>
    <t>Revenue from wind [DKK]</t>
  </si>
  <si>
    <t>Total revenue [DKK]</t>
  </si>
  <si>
    <t>Revenue - costs [DKK]</t>
  </si>
  <si>
    <t>Electricity consumed [kWh]</t>
  </si>
  <si>
    <t>Electricity produced by PV [kWh]</t>
  </si>
  <si>
    <t>Electricity produced by wind turbine [kWh]</t>
  </si>
  <si>
    <t>Electricity bought from grid [kWh]</t>
  </si>
  <si>
    <t>Electricity bought from peer-to-peer [kWh]</t>
  </si>
  <si>
    <t>Electricity sold to grid [kWh]</t>
  </si>
  <si>
    <t>Base case</t>
  </si>
  <si>
    <t>Scenario 1</t>
  </si>
  <si>
    <t>Scenario 2</t>
  </si>
  <si>
    <t>Scenario 3</t>
  </si>
  <si>
    <t>Scenario 4</t>
  </si>
  <si>
    <t>Scenario 5</t>
  </si>
  <si>
    <t>Bill from supplier</t>
  </si>
  <si>
    <t>Self-suff</t>
  </si>
  <si>
    <t>Base Scenario</t>
  </si>
  <si>
    <t>Base</t>
  </si>
  <si>
    <t>% base</t>
  </si>
  <si>
    <t>Diff</t>
  </si>
  <si>
    <t>Solar production</t>
  </si>
  <si>
    <t>WT production</t>
  </si>
  <si>
    <t>Self-suffiency</t>
  </si>
  <si>
    <t>Total cost</t>
  </si>
  <si>
    <t>For sensitivity</t>
  </si>
  <si>
    <t>Diff -20</t>
  </si>
  <si>
    <t>Diff base</t>
  </si>
  <si>
    <t>Diff +20</t>
  </si>
  <si>
    <t>%</t>
  </si>
  <si>
    <t>DIFF on same scneario</t>
  </si>
  <si>
    <t>Base-20</t>
  </si>
  <si>
    <t>Cumulative bill [DKK]</t>
  </si>
  <si>
    <t>Cumulative PV cost [DKK]</t>
  </si>
  <si>
    <t>Cumulative total costs [DKK]</t>
  </si>
  <si>
    <t>Cumulative CO2 emissions [kg]</t>
  </si>
  <si>
    <t>Scenario1 +20</t>
  </si>
  <si>
    <t>Scenario1 -20</t>
  </si>
  <si>
    <t>Scenario2 +20</t>
  </si>
  <si>
    <t>Cumulative solar production [kWh]</t>
  </si>
  <si>
    <t>Cumulative electricity purchased [kWh]</t>
  </si>
  <si>
    <t>Cumulative electricity consumption [kWh]</t>
  </si>
  <si>
    <t>Cumulative electricity from grid [kWh]</t>
  </si>
  <si>
    <t>Cumulative electricity Peer-to-Peer [kWh]</t>
  </si>
  <si>
    <t>Cumulative bill supplier [DKK]</t>
  </si>
  <si>
    <t>Cumulative revenue [DKK]</t>
  </si>
  <si>
    <t>Scenario2 -20</t>
  </si>
  <si>
    <t>Scenario3 +20</t>
  </si>
  <si>
    <t>Scenario3 -20</t>
  </si>
  <si>
    <t>Scenario4 -20</t>
  </si>
  <si>
    <t>Hourly solar energy production [kWh]</t>
  </si>
  <si>
    <t>Hourly electricity purchased [kWh]</t>
  </si>
  <si>
    <t>Hourly electricity consumption [kWh]</t>
  </si>
  <si>
    <t>Hourly wind energy production [kWh]</t>
  </si>
  <si>
    <t>Cumulative wind turbine cost [DKK]</t>
  </si>
  <si>
    <t>Cumulative revenue wind [DKK]</t>
  </si>
  <si>
    <t>Cumulative revenue solar [DKK]</t>
  </si>
  <si>
    <t>Cumulative lost revenue [DKK]</t>
  </si>
  <si>
    <t>Scenario4 +20</t>
  </si>
  <si>
    <t>Scenario5 +20</t>
  </si>
  <si>
    <t>Scenario5 -20</t>
  </si>
  <si>
    <t>Statistics on 137 agents:</t>
  </si>
  <si>
    <t>totalBill</t>
  </si>
  <si>
    <t>lostRevenue</t>
  </si>
  <si>
    <t>totalCO2</t>
  </si>
  <si>
    <t>totalCostPV</t>
  </si>
  <si>
    <t>totalElConsumption</t>
  </si>
  <si>
    <t>communityTotalBill: 719,792.62</t>
  </si>
  <si>
    <t>Consumer 1</t>
  </si>
  <si>
    <t>communityTotalCO2: 118,882.608</t>
  </si>
  <si>
    <t>Consumer 2</t>
  </si>
  <si>
    <t>communityHourlyCO2: 24.473</t>
  </si>
  <si>
    <t>Consumer 3</t>
  </si>
  <si>
    <t>communityTotalSolarCost: 42,473.929</t>
  </si>
  <si>
    <t>Consumer 4</t>
  </si>
  <si>
    <t>communityHourlySolarProduction: 0</t>
  </si>
  <si>
    <t>Consumer 5</t>
  </si>
  <si>
    <t>communityHourlyElPurchased: 63.17</t>
  </si>
  <si>
    <t>Consumer 6</t>
  </si>
  <si>
    <t>communityHourlyElConsumption: 63.17</t>
  </si>
  <si>
    <t>Consumer 7</t>
  </si>
  <si>
    <t>communityTotalLostRevenue: 48,066.885</t>
  </si>
  <si>
    <t>Consumer 8</t>
  </si>
  <si>
    <t>communityTotalElConsumption: 456,745.186</t>
  </si>
  <si>
    <t>Consumer 9</t>
  </si>
  <si>
    <t>Objects:</t>
  </si>
  <si>
    <t>Consumer 10</t>
  </si>
  <si>
    <t>0: root.community.consumers[0]</t>
  </si>
  <si>
    <t>Consumer 11</t>
  </si>
  <si>
    <t>1: root.community.consumers[1]</t>
  </si>
  <si>
    <t>Consumer 12</t>
  </si>
  <si>
    <t>2: root.community.consumers[2]</t>
  </si>
  <si>
    <t>Consumer 13</t>
  </si>
  <si>
    <t>3: root.community.consumers[3]</t>
  </si>
  <si>
    <t>Consumer 14</t>
  </si>
  <si>
    <t>4: root.community.consumers[4]</t>
  </si>
  <si>
    <t>Consumer 15</t>
  </si>
  <si>
    <t>5: root.community.consumers[5]</t>
  </si>
  <si>
    <t>Consumer 16</t>
  </si>
  <si>
    <t>6: root.community.consumers[6]</t>
  </si>
  <si>
    <t>Consumer 17</t>
  </si>
  <si>
    <t>7: root.community.consumers[7]</t>
  </si>
  <si>
    <t>Consumer 18</t>
  </si>
  <si>
    <t>8: root.community.consumers[8]</t>
  </si>
  <si>
    <t>Consumer 19</t>
  </si>
  <si>
    <t>9: root.community.consumers[9]</t>
  </si>
  <si>
    <t>Consumer 20</t>
  </si>
  <si>
    <t>...</t>
  </si>
  <si>
    <t>Consumer 21</t>
  </si>
  <si>
    <t>Consumer 22</t>
  </si>
  <si>
    <t>Consumer 23</t>
  </si>
  <si>
    <t>Consumer 24</t>
  </si>
  <si>
    <t>Consumer 25</t>
  </si>
  <si>
    <t>Consumer 26</t>
  </si>
  <si>
    <t>Consumer 27</t>
  </si>
  <si>
    <t>Consumer 28</t>
  </si>
  <si>
    <t>Consumer 29</t>
  </si>
  <si>
    <t>Consumer 30</t>
  </si>
  <si>
    <t>Consumer 31</t>
  </si>
  <si>
    <t>Consumer 32</t>
  </si>
  <si>
    <t>Consumer 33</t>
  </si>
  <si>
    <t>Consumer 34</t>
  </si>
  <si>
    <t>Consumer 35</t>
  </si>
  <si>
    <t>Consumer 36</t>
  </si>
  <si>
    <t>Consumer 37</t>
  </si>
  <si>
    <t>Consumer 38</t>
  </si>
  <si>
    <t>Consumer 39</t>
  </si>
  <si>
    <t>Consumer 40</t>
  </si>
  <si>
    <t>Consumer 41</t>
  </si>
  <si>
    <t>Consumer 42</t>
  </si>
  <si>
    <t>Consumer 43</t>
  </si>
  <si>
    <t>Consumer 44</t>
  </si>
  <si>
    <t>Consumer 45</t>
  </si>
  <si>
    <t>Consumer 46</t>
  </si>
  <si>
    <t>Consumer 47</t>
  </si>
  <si>
    <t>Consumer 48</t>
  </si>
  <si>
    <t>Consumer 49</t>
  </si>
  <si>
    <t>Consumer 50</t>
  </si>
  <si>
    <t>Consumer 51</t>
  </si>
  <si>
    <t>Consumer 52</t>
  </si>
  <si>
    <t>Consumer 53</t>
  </si>
  <si>
    <t>Consumer 54</t>
  </si>
  <si>
    <t>Consumer 55</t>
  </si>
  <si>
    <t>Consumer 56</t>
  </si>
  <si>
    <t>Consumer 57</t>
  </si>
  <si>
    <t>Consumer 58</t>
  </si>
  <si>
    <t>Consumer 59</t>
  </si>
  <si>
    <t>Consumer 60</t>
  </si>
  <si>
    <t>Consumer 61</t>
  </si>
  <si>
    <t>Consumer 62</t>
  </si>
  <si>
    <t>Consumer 63</t>
  </si>
  <si>
    <t>Consumer 64</t>
  </si>
  <si>
    <t>Consumer 65</t>
  </si>
  <si>
    <t>Consumer 66</t>
  </si>
  <si>
    <t>Consumer 67</t>
  </si>
  <si>
    <t>Consumer 68</t>
  </si>
  <si>
    <t>Consumer 69</t>
  </si>
  <si>
    <t>Consumer 70</t>
  </si>
  <si>
    <t>Consumer 71</t>
  </si>
  <si>
    <t>Consumer 72</t>
  </si>
  <si>
    <t>Consumer 73</t>
  </si>
  <si>
    <t>Consumer 74</t>
  </si>
  <si>
    <t>Consumer 75</t>
  </si>
  <si>
    <t>Consumer 76</t>
  </si>
  <si>
    <t>Consumer 77</t>
  </si>
  <si>
    <t>Consumer 78</t>
  </si>
  <si>
    <t>Consumer 79</t>
  </si>
  <si>
    <t>Consumer 80</t>
  </si>
  <si>
    <t>Consumer 81</t>
  </si>
  <si>
    <t>Consumer 82</t>
  </si>
  <si>
    <t>Consumer 83</t>
  </si>
  <si>
    <t>Consumer 84</t>
  </si>
  <si>
    <t>Consumer 85</t>
  </si>
  <si>
    <t>Consumer 86</t>
  </si>
  <si>
    <t>Consumer 87</t>
  </si>
  <si>
    <t>Consumer 88</t>
  </si>
  <si>
    <t>Consumer 89</t>
  </si>
  <si>
    <t>Consumer 90</t>
  </si>
  <si>
    <t>Consumer 91</t>
  </si>
  <si>
    <t>Consumer 92</t>
  </si>
  <si>
    <t>Consumer 93</t>
  </si>
  <si>
    <t>Consumer 94</t>
  </si>
  <si>
    <t>Consumer 95</t>
  </si>
  <si>
    <t>Consumer 96</t>
  </si>
  <si>
    <t>Consumer 97</t>
  </si>
  <si>
    <t>Consumer 98</t>
  </si>
  <si>
    <t>Consumer 99</t>
  </si>
  <si>
    <t>Consumer 100</t>
  </si>
  <si>
    <t>Consumer 101</t>
  </si>
  <si>
    <t>Consumer 102</t>
  </si>
  <si>
    <t>Consumer 103</t>
  </si>
  <si>
    <t>Consumer 104</t>
  </si>
  <si>
    <t>Consumer 105</t>
  </si>
  <si>
    <t>Consumer 106</t>
  </si>
  <si>
    <t>Consumer 107</t>
  </si>
  <si>
    <t>Consumer 108</t>
  </si>
  <si>
    <t>Consumer 109</t>
  </si>
  <si>
    <t>Consumer 110</t>
  </si>
  <si>
    <t>Consumer 111</t>
  </si>
  <si>
    <t>Consumer 112</t>
  </si>
  <si>
    <t>Consumer 113</t>
  </si>
  <si>
    <t>Consumer 114</t>
  </si>
  <si>
    <t>Consumer 115</t>
  </si>
  <si>
    <t>Consumer 116</t>
  </si>
  <si>
    <t>Consumer 117</t>
  </si>
  <si>
    <t>Consumer 118</t>
  </si>
  <si>
    <t>Consumer 119</t>
  </si>
  <si>
    <t>Consumer 120</t>
  </si>
  <si>
    <t>Consumer 121</t>
  </si>
  <si>
    <t>Consumer 122</t>
  </si>
  <si>
    <t>Consumer 123</t>
  </si>
  <si>
    <t>Consumer 124</t>
  </si>
  <si>
    <t>Consumer 125</t>
  </si>
  <si>
    <t>Consumer 126</t>
  </si>
  <si>
    <t>Consumer 127</t>
  </si>
  <si>
    <t>Consumer 128</t>
  </si>
  <si>
    <t>Consumer 129</t>
  </si>
  <si>
    <t>Consumer 130</t>
  </si>
  <si>
    <t>Consumer 131</t>
  </si>
  <si>
    <t>Consumer 132</t>
  </si>
  <si>
    <t>Consumer 133</t>
  </si>
  <si>
    <t>Consumer 134</t>
  </si>
  <si>
    <t>Consumer 135</t>
  </si>
  <si>
    <t>Consumer 136</t>
  </si>
  <si>
    <t>Consumer 137</t>
  </si>
  <si>
    <t>communityTotalSolarCost: 0</t>
  </si>
  <si>
    <t>communityTotalLostRevenue: 0</t>
  </si>
  <si>
    <t>communityTotalBill: 818,723.991</t>
  </si>
  <si>
    <t>communityTotalCO2: 157,707.63</t>
  </si>
  <si>
    <t>communityTotalRevenue: 68,988.081</t>
  </si>
  <si>
    <t>communityTotalBillSupplier: 621,452.62</t>
  </si>
  <si>
    <t>communityTotalElFromSupplier: 333,757.338</t>
  </si>
  <si>
    <t>communityTotalElFromPeerToPeer: 66,955.897</t>
  </si>
  <si>
    <t>communityHourlyElFromSupplier: 63.17</t>
  </si>
  <si>
    <t>communityTotalSolarProduction: 123,103.19</t>
  </si>
  <si>
    <t>communityHourlyElFromPeerToPeer: 0</t>
  </si>
  <si>
    <t>communityTotalElPurchased: 333,641.996</t>
  </si>
  <si>
    <t>communityTotalBillPeerToPeer: 60,721.246</t>
  </si>
  <si>
    <t>communityTotalCO2: 118,920.28</t>
  </si>
  <si>
    <t>communityTotalBillPeerToPeer: 4,206.19</t>
  </si>
  <si>
    <t>communityTotalCO2: -10,137.416</t>
  </si>
  <si>
    <t>communityTotalSolarCost: 183,637.281</t>
  </si>
  <si>
    <t>communityTotalElFromSupplier: -75,442.681</t>
  </si>
  <si>
    <t>communityTotalElPurchased: -75,495.078</t>
  </si>
  <si>
    <t>communityTotalBillSupplier: 358,415.213</t>
  </si>
  <si>
    <t>communityTotalSolarProduction: 532,240.264</t>
  </si>
  <si>
    <t>communityTotalRevenue: 147,869.802</t>
  </si>
  <si>
    <t>communityTotalElFromPeerToPeer: 4,538.24</t>
  </si>
  <si>
    <t>communityTotalLostRevenue: 51,995.62</t>
  </si>
  <si>
    <t>communityHourlyElPurchased: 46.359</t>
  </si>
  <si>
    <t>communityHourlyElNeeded: 46.359</t>
  </si>
  <si>
    <t>communityHourlyCO2: 17.96</t>
  </si>
  <si>
    <t>communityTotalBill: 413,532.494</t>
  </si>
  <si>
    <t>communityTotalCO2: 68,817.754</t>
  </si>
  <si>
    <t>communityTotalLostRevenue: 232,819.782</t>
  </si>
  <si>
    <t>communityTotalBill: 145,823.485</t>
  </si>
  <si>
    <t>communityTotalCO2: -61,472.727</t>
  </si>
  <si>
    <t>Community</t>
  </si>
  <si>
    <t>TotalSelfsuff</t>
  </si>
  <si>
    <t>Community total self sufficiency</t>
  </si>
  <si>
    <t>Hourly solar production [kWh]</t>
  </si>
  <si>
    <t>Hourly CO2 emissions [kg]</t>
  </si>
  <si>
    <t>TotalBill</t>
  </si>
  <si>
    <t>TotalCostPV</t>
  </si>
  <si>
    <t>Selfsuff %</t>
  </si>
  <si>
    <t>Total Self-suff</t>
  </si>
  <si>
    <t>TotalCo2</t>
  </si>
  <si>
    <t>TotalSelfSuff</t>
  </si>
  <si>
    <t>Total self-sufficiency</t>
  </si>
  <si>
    <t>Totalselfsuff</t>
  </si>
  <si>
    <t>Cumulative Production wind</t>
  </si>
  <si>
    <t>Cumulative CO2 reduction</t>
  </si>
  <si>
    <t>Cumulative Wind</t>
  </si>
  <si>
    <t>Cumulative Rev Wind</t>
  </si>
  <si>
    <t>Cumulative Cost wind</t>
  </si>
  <si>
    <t>PV production</t>
  </si>
  <si>
    <t>Wind production</t>
  </si>
  <si>
    <t>Total bill [DKK]</t>
  </si>
  <si>
    <t>Total PV cost [DKK]</t>
  </si>
  <si>
    <t>Total wind turbine cost [DKK]</t>
  </si>
  <si>
    <t>El purchased</t>
  </si>
  <si>
    <t>El from PtoP</t>
  </si>
  <si>
    <t>El from grid</t>
  </si>
  <si>
    <t>El consumption</t>
  </si>
  <si>
    <t>Total costs [DKK] (Incl. revenue from wind)</t>
  </si>
  <si>
    <t>✔</t>
  </si>
  <si>
    <t>Own PV</t>
  </si>
  <si>
    <t>Peer-to-peer</t>
  </si>
  <si>
    <t>Grid</t>
  </si>
  <si>
    <t>Solar (27 households with PV)</t>
  </si>
  <si>
    <t>Solar (137 households with PV)</t>
  </si>
  <si>
    <t>Wind</t>
  </si>
  <si>
    <t>102 kW</t>
  </si>
  <si>
    <t>441 kW</t>
  </si>
  <si>
    <t>90 kW</t>
  </si>
  <si>
    <t>Scenario -20%</t>
  </si>
  <si>
    <t>Scenario +20%</t>
  </si>
  <si>
    <t>Self-sufficiency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</si>
</sst>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00"/>
    <numFmt numFmtId="167" formatCode="_(* #,##0.000_);_(* \(#,##0.0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4" fontId="0" fillId="0" borderId="0" xfId="0" applyNumberFormat="1"/>
    <xf numFmtId="43" fontId="0" fillId="0" borderId="0" xfId="1" applyFont="1"/>
    <xf numFmtId="165" fontId="0" fillId="0" borderId="0" xfId="2" applyNumberFormat="1" applyFont="1"/>
    <xf numFmtId="11" fontId="0" fillId="0" borderId="0" xfId="0" applyNumberFormat="1"/>
    <xf numFmtId="164" fontId="0" fillId="0" borderId="0" xfId="0" applyNumberFormat="1"/>
    <xf numFmtId="9" fontId="0" fillId="0" borderId="0" xfId="0" applyNumberFormat="1"/>
    <xf numFmtId="43" fontId="0" fillId="0" borderId="0" xfId="0" applyNumberFormat="1"/>
    <xf numFmtId="166" fontId="0" fillId="0" borderId="0" xfId="0" applyNumberFormat="1"/>
    <xf numFmtId="0" fontId="3" fillId="0" borderId="0" xfId="0" applyFont="1"/>
    <xf numFmtId="0" fontId="0" fillId="0" borderId="1" xfId="0" applyBorder="1"/>
    <xf numFmtId="9" fontId="0" fillId="0" borderId="1" xfId="0" applyNumberFormat="1" applyBorder="1"/>
    <xf numFmtId="0" fontId="4" fillId="0" borderId="1" xfId="0" applyFont="1" applyBorder="1"/>
    <xf numFmtId="0" fontId="0" fillId="2" borderId="1" xfId="0" applyFill="1" applyBorder="1"/>
    <xf numFmtId="164" fontId="0" fillId="2" borderId="1" xfId="0" applyNumberFormat="1" applyFill="1" applyBorder="1"/>
    <xf numFmtId="43" fontId="0" fillId="2" borderId="1" xfId="0" applyNumberFormat="1" applyFill="1" applyBorder="1"/>
    <xf numFmtId="0" fontId="0" fillId="3" borderId="1" xfId="0" applyFill="1" applyBorder="1"/>
    <xf numFmtId="164" fontId="0" fillId="3" borderId="1" xfId="0" applyNumberFormat="1" applyFill="1" applyBorder="1"/>
    <xf numFmtId="43" fontId="0" fillId="3" borderId="1" xfId="0" applyNumberFormat="1" applyFill="1" applyBorder="1"/>
    <xf numFmtId="0" fontId="0" fillId="4" borderId="1" xfId="0" applyFill="1" applyBorder="1"/>
    <xf numFmtId="43" fontId="0" fillId="4" borderId="1" xfId="0" applyNumberFormat="1" applyFill="1" applyBorder="1"/>
    <xf numFmtId="0" fontId="5" fillId="0" borderId="0" xfId="0" applyFont="1"/>
    <xf numFmtId="167" fontId="0" fillId="0" borderId="0" xfId="0" applyNumberFormat="1"/>
    <xf numFmtId="9" fontId="0" fillId="4" borderId="1" xfId="0" applyNumberFormat="1" applyFill="1" applyBorder="1"/>
    <xf numFmtId="9" fontId="4" fillId="0" borderId="1" xfId="0" applyNumberFormat="1" applyFont="1" applyBorder="1"/>
    <xf numFmtId="0" fontId="0" fillId="5" borderId="0" xfId="0" applyFill="1"/>
    <xf numFmtId="0" fontId="0" fillId="0" borderId="0" xfId="0" applyAlignment="1">
      <alignment horizontal="center" vertical="center"/>
    </xf>
    <xf numFmtId="10" fontId="0" fillId="0" borderId="0" xfId="2" applyNumberFormat="1" applyFont="1"/>
    <xf numFmtId="9" fontId="0" fillId="6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  <xf numFmtId="43" fontId="0" fillId="6" borderId="1" xfId="0" applyNumberFormat="1" applyFill="1" applyBorder="1"/>
    <xf numFmtId="9" fontId="4" fillId="6" borderId="1" xfId="0" applyNumberFormat="1" applyFont="1" applyFill="1" applyBorder="1"/>
    <xf numFmtId="0" fontId="6" fillId="7" borderId="1" xfId="0" applyFont="1" applyFill="1" applyBorder="1" applyAlignment="1">
      <alignment horizontal="center"/>
    </xf>
    <xf numFmtId="0" fontId="0" fillId="7" borderId="1" xfId="0" applyFill="1" applyBorder="1"/>
    <xf numFmtId="0" fontId="5" fillId="7" borderId="1" xfId="0" applyFont="1" applyFill="1" applyBorder="1"/>
    <xf numFmtId="0" fontId="4" fillId="6" borderId="1" xfId="0" applyFont="1" applyFill="1" applyBorder="1"/>
    <xf numFmtId="0" fontId="0" fillId="8" borderId="1" xfId="0" applyFill="1" applyBorder="1"/>
    <xf numFmtId="43" fontId="0" fillId="8" borderId="1" xfId="0" applyNumberForma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Calculations!$C$12</c:f>
              <c:strCache>
                <c:ptCount val="1"/>
                <c:pt idx="0">
                  <c:v>CO2 emissions [kg]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Calculations!$B$13:$B$18</c:f>
              <c:strCache>
                <c:ptCount val="6"/>
                <c:pt idx="0">
                  <c:v>Base case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Calculations!$C$13:$C$18</c:f>
              <c:numCache>
                <c:formatCode>General</c:formatCode>
                <c:ptCount val="6"/>
                <c:pt idx="0">
                  <c:v>118388.98836493101</c:v>
                </c:pt>
                <c:pt idx="1">
                  <c:v>157208.02938473699</c:v>
                </c:pt>
                <c:pt idx="2">
                  <c:v>118426.623204979</c:v>
                </c:pt>
                <c:pt idx="3">
                  <c:v>-10611.1954333176</c:v>
                </c:pt>
                <c:pt idx="4">
                  <c:v>64316.093561695299</c:v>
                </c:pt>
                <c:pt idx="5">
                  <c:v>-76363.171016907305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A-4AF2-8A5F-310174125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715824"/>
        <c:axId val="477708624"/>
      </c:barChart>
      <c:catAx>
        <c:axId val="4777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08624"/>
        <c:crosses val="autoZero"/>
        <c:auto val="1"/>
        <c:lblAlgn val="ctr"/>
        <c:lblOffset val="100"/>
        <c:noMultiLvlLbl val="0"/>
      </c:catAx>
      <c:valAx>
        <c:axId val="4777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1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</a:t>
            </a:r>
            <a:r>
              <a:rPr lang="en-GB" baseline="0"/>
              <a:t> [DKK]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Calculations!$F$12</c:f>
              <c:strCache>
                <c:ptCount val="1"/>
                <c:pt idx="0">
                  <c:v>Bill from supplier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Calculations!$E$13:$E$18</c:f>
              <c:strCache>
                <c:ptCount val="6"/>
                <c:pt idx="0">
                  <c:v>Base case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Calculations!$F$13:$F$18</c:f>
              <c:numCache>
                <c:formatCode>_(* #,##0.00_);_(* \(#,##0.00\);_(* "-"??_);_(@_)</c:formatCode>
                <c:ptCount val="6"/>
                <c:pt idx="0">
                  <c:v>717929.97281634202</c:v>
                </c:pt>
                <c:pt idx="1">
                  <c:v>816834.57586005202</c:v>
                </c:pt>
                <c:pt idx="2">
                  <c:v>619590.90029693197</c:v>
                </c:pt>
                <c:pt idx="3">
                  <c:v>356645.98423733702</c:v>
                </c:pt>
                <c:pt idx="4">
                  <c:v>405797.78856842301</c:v>
                </c:pt>
                <c:pt idx="5">
                  <c:v>121956.72183775899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37-43CF-8498-2E62B3590C85}"/>
            </c:ext>
          </c:extLst>
        </c:ser>
        <c:ser>
          <c:idx val="1"/>
          <c:order val="1"/>
          <c:tx>
            <c:strRef>
              <c:f>Calculations!$G$12</c:f>
              <c:strCache>
                <c:ptCount val="1"/>
                <c:pt idx="0">
                  <c:v>Cost of PV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Calculations!$E$13:$E$18</c:f>
              <c:strCache>
                <c:ptCount val="6"/>
                <c:pt idx="0">
                  <c:v>Base case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Calculations!$G$13:$G$18</c:f>
              <c:numCache>
                <c:formatCode>_(* #,##0.00_);_(* \(#,##0.00\);_(* "-"??_);_(@_)</c:formatCode>
                <c:ptCount val="6"/>
                <c:pt idx="0">
                  <c:v>42357.879931504802</c:v>
                </c:pt>
                <c:pt idx="1">
                  <c:v>0</c:v>
                </c:pt>
                <c:pt idx="2">
                  <c:v>42357.879931504802</c:v>
                </c:pt>
                <c:pt idx="3">
                  <c:v>183135.53952738599</c:v>
                </c:pt>
                <c:pt idx="4">
                  <c:v>42357.879931504802</c:v>
                </c:pt>
                <c:pt idx="5">
                  <c:v>183135.53952738599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37-43CF-8498-2E62B3590C85}"/>
            </c:ext>
          </c:extLst>
        </c:ser>
        <c:ser>
          <c:idx val="2"/>
          <c:order val="2"/>
          <c:tx>
            <c:strRef>
              <c:f>Calculations!$H$12</c:f>
              <c:strCache>
                <c:ptCount val="1"/>
                <c:pt idx="0">
                  <c:v>Cost of wind turbine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Calculations!$E$13:$E$18</c:f>
              <c:strCache>
                <c:ptCount val="6"/>
                <c:pt idx="0">
                  <c:v>Base case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Calculations!$H$13:$H$18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142672.50030822301</c:v>
                </c:pt>
                <c:pt idx="5">
                  <c:v>142672.50030822301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37-43CF-8498-2E62B3590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03232"/>
        <c:axId val="5802272"/>
      </c:barChart>
      <c:catAx>
        <c:axId val="58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272"/>
        <c:crosses val="autoZero"/>
        <c:auto val="1"/>
        <c:lblAlgn val="ctr"/>
        <c:lblOffset val="100"/>
        <c:noMultiLvlLbl val="0"/>
      </c:catAx>
      <c:valAx>
        <c:axId val="58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Total</a:t>
            </a:r>
            <a:r>
              <a:rPr lang="da-DK" baseline="0"/>
              <a:t> cost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Calculations!$A$46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Calculations!$B$46:$G$46</c:f>
              <c:numCache>
                <c:formatCode>_(* #,##0.00_);_(* \(#,##0.00\);_(* "-"??_);_(@_)</c:formatCode>
                <c:ptCount val="6"/>
                <c:pt idx="0" formatCode="General">
                  <c:v>772932.15240291203</c:v>
                </c:pt>
                <c:pt idx="1">
                  <c:v>816834.57586005202</c:v>
                </c:pt>
                <c:pt idx="2" formatCode="_(* #,##0.00_);_(* \(#,##0.00\);_(* &quot;-&quot;??_);_(@_)">
                  <c:v>690905.74926930398</c:v>
                </c:pt>
                <c:pt idx="3" formatCode="General">
                  <c:v>592785.562362183</c:v>
                </c:pt>
                <c:pt idx="4" formatCode="General">
                  <c:v>609831.81353888195</c:v>
                </c:pt>
                <c:pt idx="5" formatCode="General">
                  <c:v>518216.51551811403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3-4039-82A3-44B95E44B26A}"/>
            </c:ext>
          </c:extLst>
        </c:ser>
        <c:ser>
          <c:idx val="1"/>
          <c:order val="1"/>
          <c:tx>
            <c:strRef>
              <c:f>Calculations!$A$47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Calculations!$B$45:$G$45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Calculations!$B$47:$G$47</c:f>
              <c:numCache>
                <c:formatCode>_(* #,##0.00_);_(* \(#,##0.00\);_(* "-"??_);_(@_)</c:formatCode>
                <c:ptCount val="6"/>
                <c:pt idx="0">
                  <c:v>760287.85274784686</c:v>
                </c:pt>
                <c:pt idx="1">
                  <c:v>816834.57586005202</c:v>
                </c:pt>
                <c:pt idx="2">
                  <c:v>661948.78022843681</c:v>
                </c:pt>
                <c:pt idx="3">
                  <c:v>539781.52376472298</c:v>
                </c:pt>
                <c:pt idx="4">
                  <c:v>590828.1688081508</c:v>
                </c:pt>
                <c:pt idx="5">
                  <c:v>447764.76167336799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3-4039-82A3-44B95E44B26A}"/>
            </c:ext>
          </c:extLst>
        </c:ser>
        <c:ser>
          <c:idx val="2"/>
          <c:order val="2"/>
          <c:tx>
            <c:strRef>
              <c:f>Calculations!$A$48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Calculations!$B$45:$G$45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Calculations!$B$48:$G$48</c:f>
              <c:numCache>
                <c:formatCode>_(* #,##0.00_);_(* \(#,##0.00\);_(* "-"??_);_(@_)</c:formatCode>
                <c:ptCount val="6"/>
                <c:pt idx="0">
                  <c:v>747643.55309278169</c:v>
                </c:pt>
                <c:pt idx="1">
                  <c:v>816834.57586005202</c:v>
                </c:pt>
                <c:pt idx="2" formatCode="General">
                  <c:v>636736.63706730295</c:v>
                </c:pt>
                <c:pt idx="3" formatCode="General">
                  <c:v>490105.10426576401</c:v>
                </c:pt>
                <c:pt idx="4" formatCode="General">
                  <c:v>586038.90403728804</c:v>
                </c:pt>
                <c:pt idx="5" formatCode="General">
                  <c:v>425257.50693202502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53-4039-82A3-44B95E44B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767583"/>
        <c:axId val="1968769023"/>
      </c:barChart>
      <c:catAx>
        <c:axId val="196876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68769023"/>
        <c:crosses val="autoZero"/>
        <c:auto val="1"/>
        <c:lblAlgn val="ctr"/>
        <c:lblOffset val="100"/>
        <c:noMultiLvlLbl val="0"/>
      </c:catAx>
      <c:valAx>
        <c:axId val="196876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COST</a:t>
                </a:r>
                <a:r>
                  <a:rPr lang="da-DK" baseline="0"/>
                  <a:t> [DKK]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6876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Calculations!$I$46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Calculations!$J$45:$O$45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Calculations!$J$46:$O$46</c:f>
              <c:numCache>
                <c:formatCode>General</c:formatCode>
                <c:ptCount val="6"/>
                <c:pt idx="0">
                  <c:v>126686.636979118</c:v>
                </c:pt>
                <c:pt idx="2">
                  <c:v>126191.784800607</c:v>
                </c:pt>
                <c:pt idx="3">
                  <c:v>22955.7711489088</c:v>
                </c:pt>
                <c:pt idx="4">
                  <c:v>72240.005550759408</c:v>
                </c:pt>
                <c:pt idx="5">
                  <c:v>-41638.705955760997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F-4D34-B847-F023E4B79C4D}"/>
            </c:ext>
          </c:extLst>
        </c:ser>
        <c:ser>
          <c:idx val="1"/>
          <c:order val="1"/>
          <c:tx>
            <c:strRef>
              <c:f>Calculations!$I$47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Calculations!$J$45:$O$45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Calculations!$J$47:$O$47</c:f>
              <c:numCache>
                <c:formatCode>General</c:formatCode>
                <c:ptCount val="6"/>
                <c:pt idx="0">
                  <c:v>118388.98836493101</c:v>
                </c:pt>
                <c:pt idx="1">
                  <c:v>157208.02938473699</c:v>
                </c:pt>
                <c:pt idx="2">
                  <c:v>118426.623204979</c:v>
                </c:pt>
                <c:pt idx="3">
                  <c:v>-10611.1954333176</c:v>
                </c:pt>
                <c:pt idx="4">
                  <c:v>64316.093561695299</c:v>
                </c:pt>
                <c:pt idx="5">
                  <c:v>-76363.171016907305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F-4D34-B847-F023E4B79C4D}"/>
            </c:ext>
          </c:extLst>
        </c:ser>
        <c:ser>
          <c:idx val="2"/>
          <c:order val="2"/>
          <c:tx>
            <c:strRef>
              <c:f>Calculations!$I$48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Calculations!$J$45:$O$45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Calculations!$J$48:$O$48</c:f>
              <c:numCache>
                <c:formatCode>General</c:formatCode>
                <c:ptCount val="6"/>
                <c:pt idx="0">
                  <c:v>110091.33975074401</c:v>
                </c:pt>
                <c:pt idx="2">
                  <c:v>110661.742834968</c:v>
                </c:pt>
                <c:pt idx="3">
                  <c:v>-44178.380210073497</c:v>
                </c:pt>
                <c:pt idx="4">
                  <c:v>56392.181572631198</c:v>
                </c:pt>
                <c:pt idx="5">
                  <c:v>-110872.670494103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CF-4D34-B847-F023E4B79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615839"/>
        <c:axId val="128521759"/>
      </c:barChart>
      <c:catAx>
        <c:axId val="211761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8521759"/>
        <c:crosses val="autoZero"/>
        <c:auto val="1"/>
        <c:lblAlgn val="ctr"/>
        <c:lblOffset val="100"/>
        <c:noMultiLvlLbl val="0"/>
      </c:catAx>
      <c:valAx>
        <c:axId val="1285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 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11761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Calculations!$A$46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Calculations!$B$46:$G$46</c:f>
              <c:numCache>
                <c:formatCode>_(* #,##0.00_);_(* \(#,##0.00\);_(* "-"??_);_(@_)</c:formatCode>
                <c:ptCount val="6"/>
                <c:pt idx="0" formatCode="General">
                  <c:v>772932.15240291203</c:v>
                </c:pt>
                <c:pt idx="1">
                  <c:v>816834.57586005202</c:v>
                </c:pt>
                <c:pt idx="2" formatCode="_(* #,##0.00_);_(* \(#,##0.00\);_(* &quot;-&quot;??_);_(@_)">
                  <c:v>690905.74926930398</c:v>
                </c:pt>
                <c:pt idx="3" formatCode="General">
                  <c:v>592785.562362183</c:v>
                </c:pt>
                <c:pt idx="4" formatCode="General">
                  <c:v>609831.81353888195</c:v>
                </c:pt>
                <c:pt idx="5" formatCode="General">
                  <c:v>518216.51551811403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6-4839-B610-CCF36C62766D}"/>
            </c:ext>
          </c:extLst>
        </c:ser>
        <c:ser>
          <c:idx val="1"/>
          <c:order val="1"/>
          <c:tx>
            <c:strRef>
              <c:f>Calculations!$A$47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Calculations!$B$45:$G$45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Calculations!$B$47:$G$47</c:f>
              <c:numCache>
                <c:formatCode>_(* #,##0.00_);_(* \(#,##0.00\);_(* "-"??_);_(@_)</c:formatCode>
                <c:ptCount val="6"/>
                <c:pt idx="0">
                  <c:v>760287.85274784686</c:v>
                </c:pt>
                <c:pt idx="1">
                  <c:v>816834.57586005202</c:v>
                </c:pt>
                <c:pt idx="2">
                  <c:v>661948.78022843681</c:v>
                </c:pt>
                <c:pt idx="3">
                  <c:v>539781.52376472298</c:v>
                </c:pt>
                <c:pt idx="4">
                  <c:v>590828.1688081508</c:v>
                </c:pt>
                <c:pt idx="5">
                  <c:v>447764.76167336799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6-4839-B610-CCF36C62766D}"/>
            </c:ext>
          </c:extLst>
        </c:ser>
        <c:ser>
          <c:idx val="2"/>
          <c:order val="2"/>
          <c:tx>
            <c:strRef>
              <c:f>Calculations!$A$48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Calculations!$B$45:$G$45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Calculations!$B$48:$G$48</c:f>
              <c:numCache>
                <c:formatCode>_(* #,##0.00_);_(* \(#,##0.00\);_(* "-"??_);_(@_)</c:formatCode>
                <c:ptCount val="6"/>
                <c:pt idx="0">
                  <c:v>747643.55309278169</c:v>
                </c:pt>
                <c:pt idx="1">
                  <c:v>816834.57586005202</c:v>
                </c:pt>
                <c:pt idx="2" formatCode="General">
                  <c:v>636736.63706730295</c:v>
                </c:pt>
                <c:pt idx="3" formatCode="General">
                  <c:v>490105.10426576401</c:v>
                </c:pt>
                <c:pt idx="4" formatCode="General">
                  <c:v>586038.90403728804</c:v>
                </c:pt>
                <c:pt idx="5" formatCode="General">
                  <c:v>425257.50693202502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C6-4839-B610-CCF36C627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477184"/>
        <c:axId val="269477664"/>
      </c:barChart>
      <c:catAx>
        <c:axId val="2694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69477664"/>
        <c:crosses val="autoZero"/>
        <c:auto val="1"/>
        <c:lblAlgn val="ctr"/>
        <c:lblOffset val="100"/>
        <c:noMultiLvlLbl val="0"/>
      </c:catAx>
      <c:valAx>
        <c:axId val="2694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COST</a:t>
                </a:r>
                <a:r>
                  <a:rPr lang="en-US" baseline="0"/>
                  <a:t> [DKK]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694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Self-sufficiency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Calculations!$B$109</c:f>
              <c:strCache>
                <c:ptCount val="1"/>
                <c:pt idx="0">
                  <c:v>Scenario 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Calculations!$A$110:$A$115</c:f>
              <c:strCache>
                <c:ptCount val="6"/>
                <c:pt idx="0">
                  <c:v>Base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Calculations!$B$110:$B$115</c:f>
              <c:numCache>
                <c:formatCode>General</c:formatCode>
                <c:ptCount val="6"/>
                <c:pt idx="0">
                  <c:v>7.2200000000000006</c:v>
                </c:pt>
                <c:pt idx="1">
                  <c:v>0</c:v>
                </c:pt>
                <c:pt idx="2">
                  <c:v>20.049999999999997</c:v>
                </c:pt>
                <c:pt idx="3">
                  <c:v>36</c:v>
                </c:pt>
                <c:pt idx="4">
                  <c:v>62.05</c:v>
                </c:pt>
                <c:pt idx="5">
                  <c:v>69.94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0-4827-ABDA-989CD1D2FC1B}"/>
            </c:ext>
          </c:extLst>
        </c:ser>
        <c:ser>
          <c:idx val="1"/>
          <c:order val="1"/>
          <c:tx>
            <c:strRef>
              <c:f>Calculations!$C$109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Calculations!$A$110:$A$115</c:f>
              <c:strCache>
                <c:ptCount val="6"/>
                <c:pt idx="0">
                  <c:v>Base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Calculations!$C$110:$C$115</c:f>
              <c:numCache>
                <c:formatCode>General</c:formatCode>
                <c:ptCount val="6"/>
                <c:pt idx="0">
                  <c:v>7.7</c:v>
                </c:pt>
                <c:pt idx="1">
                  <c:v>0</c:v>
                </c:pt>
                <c:pt idx="2">
                  <c:v>22.9</c:v>
                </c:pt>
                <c:pt idx="3">
                  <c:v>37.799999999999997</c:v>
                </c:pt>
                <c:pt idx="4">
                  <c:v>63.5</c:v>
                </c:pt>
                <c:pt idx="5">
                  <c:v>70.8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B0-4827-ABDA-989CD1D2FC1B}"/>
            </c:ext>
          </c:extLst>
        </c:ser>
        <c:ser>
          <c:idx val="2"/>
          <c:order val="2"/>
          <c:tx>
            <c:strRef>
              <c:f>Calculations!$D$109</c:f>
              <c:strCache>
                <c:ptCount val="1"/>
                <c:pt idx="0">
                  <c:v>Scenario +20%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Calculations!$A$110:$A$115</c:f>
              <c:strCache>
                <c:ptCount val="6"/>
                <c:pt idx="0">
                  <c:v>Base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Calculations!$D$110:$D$115</c:f>
              <c:numCache>
                <c:formatCode>General</c:formatCode>
                <c:ptCount val="6"/>
                <c:pt idx="0">
                  <c:v>8.0500000000000007</c:v>
                </c:pt>
                <c:pt idx="1">
                  <c:v>0</c:v>
                </c:pt>
                <c:pt idx="2">
                  <c:v>25.13</c:v>
                </c:pt>
                <c:pt idx="3">
                  <c:v>39.15</c:v>
                </c:pt>
                <c:pt idx="4">
                  <c:v>64.63</c:v>
                </c:pt>
                <c:pt idx="5">
                  <c:v>71.45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B0-4827-ABDA-989CD1D2F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191647"/>
        <c:axId val="1333193567"/>
      </c:barChart>
      <c:catAx>
        <c:axId val="133319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93567"/>
        <c:crosses val="autoZero"/>
        <c:auto val="1"/>
        <c:lblAlgn val="ctr"/>
        <c:lblOffset val="100"/>
        <c:noMultiLvlLbl val="0"/>
      </c:catAx>
      <c:valAx>
        <c:axId val="13331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Self-sufficiency [</a:t>
                </a:r>
                <a:r>
                  <a:rPr lang="en-US"/>
                  <a:t>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9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Origin of Electricity</a:t>
            </a:r>
            <a:r>
              <a:rPr lang="en-GB" baseline="0"/>
              <a:t> (Scenario 2)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Overview!$C$12</c:f>
              <c:strCache>
                <c:ptCount val="1"/>
                <c:pt idx="0">
                  <c:v>Scenario 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63-4733-BEA7-9AD1654D31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663-4733-BEA7-9AD1654D3114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63-4733-BEA7-9AD1654D3114}"/>
              </c:ext>
            </c:extLst>
          </c:dPt>
          <c:dLbls>
            <c:dLbl>
              <c:idx val="0"/>
              <c:layout>
                <c:manualLayout>
                  <c:x val="3.3333333333333333E-2"/>
                  <c:y val="9.2592592592592813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63-4733-BEA7-9AD1654D3114}"/>
                </c:ext>
              </c:extLst>
            </c:dLbl>
            <c:dLbl>
              <c:idx val="1"/>
              <c:layout>
                <c:manualLayout>
                  <c:x val="3.6111111111111108E-2"/>
                  <c:y val="-4.6296296296296294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63-4733-BEA7-9AD1654D3114}"/>
                </c:ext>
              </c:extLst>
            </c:dLbl>
            <c:dLbl>
              <c:idx val="2"/>
              <c:layout>
                <c:manualLayout>
                  <c:x val="-0.05"/>
                  <c:y val="-9.2592592592594287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63-4733-BEA7-9AD1654D311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Overview!$B$13:$B$15</c:f>
              <c:strCache>
                <c:ptCount val="3"/>
                <c:pt idx="0">
                  <c:v>Own PV</c:v>
                </c:pt>
                <c:pt idx="1">
                  <c:v>Peer-to-peer</c:v>
                </c:pt>
                <c:pt idx="2">
                  <c:v>Grid</c:v>
                </c:pt>
              </c:strCache>
            </c:strRef>
          </c:cat>
          <c:val>
            <c:numRef>
              <c:f>Overview!$C$13:$C$15</c:f>
              <c:numCache>
                <c:formatCode>General</c:formatCode>
                <c:ptCount val="3"/>
                <c:pt idx="0">
                  <c:v>56009.818339650694</c:v>
                </c:pt>
                <c:pt idx="1">
                  <c:v>66955.007570000307</c:v>
                </c:pt>
                <c:pt idx="2">
                  <c:v>332115.15998034697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63-4733-BEA7-9AD1654D31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Yearly Production Potential by RES</a:t>
            </a:r>
            <a:r>
              <a:rPr lang="en-GB" baseline="0"/>
              <a:t> [kWh]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Overview!$F$13:$F$15</c:f>
              <c:strCache>
                <c:ptCount val="3"/>
                <c:pt idx="0">
                  <c:v>Solar (27 households with PV)</c:v>
                </c:pt>
                <c:pt idx="1">
                  <c:v>Solar (137 households with PV)</c:v>
                </c:pt>
                <c:pt idx="2">
                  <c:v>Wind</c:v>
                </c:pt>
              </c:strCache>
            </c:strRef>
          </c:cat>
          <c:val>
            <c:numRef>
              <c:f>Overview!$G$13:$G$15</c:f>
              <c:numCache>
                <c:formatCode>General</c:formatCode>
                <c:ptCount val="3"/>
                <c:pt idx="0">
                  <c:v>123079.97784978199</c:v>
                </c:pt>
                <c:pt idx="1">
                  <c:v>532139.90376229305</c:v>
                </c:pt>
                <c:pt idx="2" formatCode="#,##0.00">
                  <c:v>230112.91800000001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1-4E1F-986B-103BB11DC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816351"/>
        <c:axId val="395816831"/>
      </c:barChart>
      <c:catAx>
        <c:axId val="39581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16831"/>
        <c:crosses val="autoZero"/>
        <c:auto val="1"/>
        <c:lblAlgn val="ctr"/>
        <c:lblOffset val="100"/>
        <c:noMultiLvlLbl val="0"/>
      </c:catAx>
      <c:valAx>
        <c:axId val="39581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81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D9-40D5-B5AD-6BE473DD7D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D9-40D5-B5AD-6BE473DD7D9F}"/>
              </c:ext>
            </c:extLst>
          </c:dPt>
          <c:cat>
            <c:strRef>
              <c:f>Overview!$B$13:$B$14</c:f>
              <c:strCache>
                <c:ptCount val="2"/>
                <c:pt idx="0">
                  <c:v>Own PV</c:v>
                </c:pt>
                <c:pt idx="1">
                  <c:v>Peer-to-peer</c:v>
                </c:pt>
              </c:strCache>
            </c:strRef>
          </c:cat>
          <c:val>
            <c:numRef>
              <c:f>Overview!$D$13:$D$14</c:f>
              <c:numCache>
                <c:formatCode>General</c:formatCode>
                <c:ptCount val="2"/>
                <c:pt idx="0">
                  <c:v>450541.96891118737</c:v>
                </c:pt>
                <c:pt idx="1">
                  <c:v>4538.0169788106105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A-4CCF-830F-B24D887CE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'Old Calculations'!$C$12</c:f>
              <c:strCache>
                <c:ptCount val="1"/>
                <c:pt idx="0">
                  <c:v>CO2 emissions [kg]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'Old Calculations'!$B$13:$B$18</c:f>
              <c:strCache>
                <c:ptCount val="6"/>
                <c:pt idx="0">
                  <c:v>Base case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Calculations'!$C$13:$C$18</c:f>
              <c:numCache>
                <c:formatCode>General</c:formatCode>
                <c:ptCount val="6"/>
                <c:pt idx="0">
                  <c:v>118882.608593394</c:v>
                </c:pt>
                <c:pt idx="1">
                  <c:v>157707.630285586</c:v>
                </c:pt>
                <c:pt idx="2">
                  <c:v>118920.27978782399</c:v>
                </c:pt>
                <c:pt idx="3">
                  <c:v>-10137.4160772613</c:v>
                </c:pt>
                <c:pt idx="4">
                  <c:v>64552.080710820599</c:v>
                </c:pt>
                <c:pt idx="5">
                  <c:v>-76149.034977244097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1E-40F7-AD1C-0E54FF25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7715824"/>
        <c:axId val="477708624"/>
      </c:barChart>
      <c:catAx>
        <c:axId val="4777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08624"/>
        <c:crosses val="autoZero"/>
        <c:auto val="1"/>
        <c:lblAlgn val="ctr"/>
        <c:lblOffset val="100"/>
        <c:noMultiLvlLbl val="0"/>
      </c:catAx>
      <c:valAx>
        <c:axId val="47770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71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Cost</a:t>
            </a:r>
            <a:r>
              <a:rPr lang="en-GB" baseline="0"/>
              <a:t> [DKK]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'Old Calculations'!$F$12</c:f>
              <c:strCache>
                <c:ptCount val="1"/>
                <c:pt idx="0">
                  <c:v>Bill from supplier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'Old Calculations'!$E$13:$E$18</c:f>
              <c:strCache>
                <c:ptCount val="6"/>
                <c:pt idx="0">
                  <c:v>Base case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Calculations'!$F$13:$F$18</c:f>
              <c:numCache>
                <c:formatCode>_(* #,##0.00_);_(* \(#,##0.00\);_(* "-"??_);_(@_)</c:formatCode>
                <c:ptCount val="6"/>
                <c:pt idx="0">
                  <c:v>719792.62026915001</c:v>
                </c:pt>
                <c:pt idx="1">
                  <c:v>818723.99101913103</c:v>
                </c:pt>
                <c:pt idx="2">
                  <c:v>621452.61984325398</c:v>
                </c:pt>
                <c:pt idx="3">
                  <c:v>358415.21254482103</c:v>
                </c:pt>
                <c:pt idx="4">
                  <c:v>406743.32888426696</c:v>
                </c:pt>
                <c:pt idx="5">
                  <c:v>122810.13376333719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6-4BC4-B96E-EF0AA0231444}"/>
            </c:ext>
          </c:extLst>
        </c:ser>
        <c:ser>
          <c:idx val="1"/>
          <c:order val="1"/>
          <c:tx>
            <c:strRef>
              <c:f>'Old Calculations'!$G$12</c:f>
              <c:strCache>
                <c:ptCount val="1"/>
                <c:pt idx="0">
                  <c:v>Cost of PV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'Old Calculations'!$E$13:$E$18</c:f>
              <c:strCache>
                <c:ptCount val="6"/>
                <c:pt idx="0">
                  <c:v>Base case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Calculations'!$G$13:$G$18</c:f>
              <c:numCache>
                <c:formatCode>_(* #,##0.00_);_(* \(#,##0.00\);_(* "-"??_);_(@_)</c:formatCode>
                <c:ptCount val="6"/>
                <c:pt idx="0">
                  <c:v>42473.928917806203</c:v>
                </c:pt>
                <c:pt idx="1">
                  <c:v>0</c:v>
                </c:pt>
                <c:pt idx="2">
                  <c:v>42473.928986299201</c:v>
                </c:pt>
                <c:pt idx="3">
                  <c:v>183637.28073286501</c:v>
                </c:pt>
                <c:pt idx="4">
                  <c:v>42473.928986299201</c:v>
                </c:pt>
                <c:pt idx="5">
                  <c:v>183637.28073286501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06-4BC4-B96E-EF0AA0231444}"/>
            </c:ext>
          </c:extLst>
        </c:ser>
        <c:ser>
          <c:idx val="2"/>
          <c:order val="2"/>
          <c:tx>
            <c:strRef>
              <c:f>'Old Calculations'!$H$12</c:f>
              <c:strCache>
                <c:ptCount val="1"/>
                <c:pt idx="0">
                  <c:v>Cost of wind turbine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'Old Calculations'!$E$13:$E$18</c:f>
              <c:strCache>
                <c:ptCount val="6"/>
                <c:pt idx="0">
                  <c:v>Base case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Calculations'!$H$13:$H$18</c:f>
              <c:numCache>
                <c:formatCode>_(* #,##0.00_);_(* \(#,##0.00\);_(* "-"??_);_(@_)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143063.38356164601</c:v>
                </c:pt>
                <c:pt idx="5">
                  <c:v>143063.38386986699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06-4BC4-B96E-EF0AA0231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803232"/>
        <c:axId val="5802272"/>
      </c:barChart>
      <c:catAx>
        <c:axId val="580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2272"/>
        <c:crosses val="autoZero"/>
        <c:auto val="1"/>
        <c:lblAlgn val="ctr"/>
        <c:lblOffset val="100"/>
        <c:noMultiLvlLbl val="0"/>
      </c:catAx>
      <c:valAx>
        <c:axId val="580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Total</a:t>
            </a:r>
            <a:r>
              <a:rPr lang="da-DK" baseline="0"/>
              <a:t> cost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'Old Calculations'!$A$46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'Old Calculations'!$B$45:$G$45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Calculations'!$B$46:$G$46</c:f>
              <c:numCache>
                <c:formatCode>_(* #,##0.00_);_(* \(#,##0.00\);_(* "-"??_);_(@_)</c:formatCode>
                <c:ptCount val="6"/>
                <c:pt idx="0" formatCode="General">
                  <c:v>772932.15240291203</c:v>
                </c:pt>
                <c:pt idx="1">
                  <c:v>818723.99101913103</c:v>
                </c:pt>
                <c:pt idx="2" formatCode="_(* #,##0.00_);_(* \(#,##0.00\);_(* &quot;-&quot;??_);_(@_)">
                  <c:v>690905.74926930398</c:v>
                </c:pt>
                <c:pt idx="3" formatCode="General">
                  <c:v>592785.562362183</c:v>
                </c:pt>
                <c:pt idx="4" formatCode="General">
                  <c:v>609831.81353888195</c:v>
                </c:pt>
                <c:pt idx="5" formatCode="General">
                  <c:v>518216.51551811403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4-4933-8BA6-F504990A7FA7}"/>
            </c:ext>
          </c:extLst>
        </c:ser>
        <c:ser>
          <c:idx val="1"/>
          <c:order val="1"/>
          <c:tx>
            <c:strRef>
              <c:f>'Old Calculations'!$A$47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'Old Calculations'!$B$45:$G$45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Calculations'!$B$47:$G$47</c:f>
              <c:numCache>
                <c:formatCode>_(* #,##0.00_);_(* \(#,##0.00\);_(* "-"??_);_(@_)</c:formatCode>
                <c:ptCount val="6"/>
                <c:pt idx="0">
                  <c:v>762266.54918695625</c:v>
                </c:pt>
                <c:pt idx="1">
                  <c:v>818723.99101913103</c:v>
                </c:pt>
                <c:pt idx="2">
                  <c:v>663926.54882955318</c:v>
                </c:pt>
                <c:pt idx="3">
                  <c:v>542052.49327768607</c:v>
                </c:pt>
                <c:pt idx="4">
                  <c:v>592280.6414322122</c:v>
                </c:pt>
                <c:pt idx="5">
                  <c:v>449510.79836606921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4-4933-8BA6-F504990A7FA7}"/>
            </c:ext>
          </c:extLst>
        </c:ser>
        <c:ser>
          <c:idx val="2"/>
          <c:order val="2"/>
          <c:tx>
            <c:strRef>
              <c:f>'Old Calculations'!$A$48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'Old Calculations'!$B$45:$G$45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Calculations'!$B$48:$G$48</c:f>
              <c:numCache>
                <c:formatCode>_(* #,##0.00_);_(* \(#,##0.00\);_(* "-"??_);_(@_)</c:formatCode>
                <c:ptCount val="6"/>
                <c:pt idx="0">
                  <c:v>751600.94597100047</c:v>
                </c:pt>
                <c:pt idx="1">
                  <c:v>818723.99101913103</c:v>
                </c:pt>
                <c:pt idx="2" formatCode="General">
                  <c:v>636736.63706730295</c:v>
                </c:pt>
                <c:pt idx="3" formatCode="General">
                  <c:v>490105.10426576401</c:v>
                </c:pt>
                <c:pt idx="4" formatCode="General">
                  <c:v>586038.90403728804</c:v>
                </c:pt>
                <c:pt idx="5" formatCode="General">
                  <c:v>425257.50693202502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B4-4933-8BA6-F504990A7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767583"/>
        <c:axId val="1968769023"/>
      </c:barChart>
      <c:catAx>
        <c:axId val="196876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68769023"/>
        <c:crosses val="autoZero"/>
        <c:auto val="1"/>
        <c:lblAlgn val="ctr"/>
        <c:lblOffset val="100"/>
        <c:noMultiLvlLbl val="0"/>
      </c:catAx>
      <c:valAx>
        <c:axId val="196876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COST</a:t>
                </a:r>
                <a:r>
                  <a:rPr lang="da-DK" baseline="0"/>
                  <a:t> [DKK]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96876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'Old Calculations'!$I$46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'Old Calculations'!$J$45:$O$45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Calculations'!$J$46:$O$46</c:f>
              <c:numCache>
                <c:formatCode>General</c:formatCode>
                <c:ptCount val="6"/>
                <c:pt idx="0">
                  <c:v>126686.636979118</c:v>
                </c:pt>
                <c:pt idx="2">
                  <c:v>126191.784800607</c:v>
                </c:pt>
                <c:pt idx="3">
                  <c:v>22955.7711489088</c:v>
                </c:pt>
                <c:pt idx="4">
                  <c:v>72711.979849010007</c:v>
                </c:pt>
                <c:pt idx="5">
                  <c:v>-41638.705955760997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B-4394-9A52-8BF4CA455070}"/>
            </c:ext>
          </c:extLst>
        </c:ser>
        <c:ser>
          <c:idx val="1"/>
          <c:order val="1"/>
          <c:tx>
            <c:strRef>
              <c:f>'Old Calculations'!$I$47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'Old Calculations'!$J$45:$O$45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Calculations'!$J$47:$O$47</c:f>
              <c:numCache>
                <c:formatCode>General</c:formatCode>
                <c:ptCount val="6"/>
                <c:pt idx="0">
                  <c:v>118882.608593394</c:v>
                </c:pt>
                <c:pt idx="1">
                  <c:v>157707.630285586</c:v>
                </c:pt>
                <c:pt idx="2">
                  <c:v>118920.27978782399</c:v>
                </c:pt>
                <c:pt idx="3">
                  <c:v>-10137.4160772613</c:v>
                </c:pt>
                <c:pt idx="4">
                  <c:v>64552.080710820599</c:v>
                </c:pt>
                <c:pt idx="5">
                  <c:v>-76149.034977244097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9B-4394-9A52-8BF4CA455070}"/>
            </c:ext>
          </c:extLst>
        </c:ser>
        <c:ser>
          <c:idx val="2"/>
          <c:order val="2"/>
          <c:tx>
            <c:strRef>
              <c:f>'Old Calculations'!$I$48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'Old Calculations'!$J$45:$O$45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Calculations'!$J$48:$O$48</c:f>
              <c:numCache>
                <c:formatCode>General</c:formatCode>
                <c:ptCount val="6"/>
                <c:pt idx="0">
                  <c:v>111078.58020767001</c:v>
                </c:pt>
                <c:pt idx="2">
                  <c:v>110661.742834968</c:v>
                </c:pt>
                <c:pt idx="3">
                  <c:v>-44178.380210073497</c:v>
                </c:pt>
                <c:pt idx="4">
                  <c:v>56392.181572631198</c:v>
                </c:pt>
                <c:pt idx="5">
                  <c:v>-110872.670494103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9B-4394-9A52-8BF4CA455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7615839"/>
        <c:axId val="128521759"/>
      </c:barChart>
      <c:catAx>
        <c:axId val="211761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28521759"/>
        <c:crosses val="autoZero"/>
        <c:auto val="1"/>
        <c:lblAlgn val="ctr"/>
        <c:lblOffset val="100"/>
        <c:noMultiLvlLbl val="0"/>
      </c:catAx>
      <c:valAx>
        <c:axId val="12852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11761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'Old Calculations'!$A$46</c:f>
              <c:strCache>
                <c:ptCount val="1"/>
                <c:pt idx="0">
                  <c:v>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'Old Calculations'!$B$45:$G$45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Calculations'!$B$46:$G$46</c:f>
              <c:numCache>
                <c:formatCode>_(* #,##0.00_);_(* \(#,##0.00\);_(* "-"??_);_(@_)</c:formatCode>
                <c:ptCount val="6"/>
                <c:pt idx="0" formatCode="General">
                  <c:v>772932.15240291203</c:v>
                </c:pt>
                <c:pt idx="1">
                  <c:v>818723.99101913103</c:v>
                </c:pt>
                <c:pt idx="2" formatCode="_(* #,##0.00_);_(* \(#,##0.00\);_(* &quot;-&quot;??_);_(@_)">
                  <c:v>690905.74926930398</c:v>
                </c:pt>
                <c:pt idx="3" formatCode="General">
                  <c:v>592785.562362183</c:v>
                </c:pt>
                <c:pt idx="4" formatCode="General">
                  <c:v>609831.81353888195</c:v>
                </c:pt>
                <c:pt idx="5" formatCode="General">
                  <c:v>518216.51551811403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C-4632-B786-B02AC23833D7}"/>
            </c:ext>
          </c:extLst>
        </c:ser>
        <c:ser>
          <c:idx val="1"/>
          <c:order val="1"/>
          <c:tx>
            <c:strRef>
              <c:f>'Old Calculations'!$A$47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'Old Calculations'!$B$45:$G$45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Calculations'!$B$47:$G$47</c:f>
              <c:numCache>
                <c:formatCode>_(* #,##0.00_);_(* \(#,##0.00\);_(* "-"??_);_(@_)</c:formatCode>
                <c:ptCount val="6"/>
                <c:pt idx="0">
                  <c:v>762266.54918695625</c:v>
                </c:pt>
                <c:pt idx="1">
                  <c:v>818723.99101913103</c:v>
                </c:pt>
                <c:pt idx="2">
                  <c:v>663926.54882955318</c:v>
                </c:pt>
                <c:pt idx="3">
                  <c:v>542052.49327768607</c:v>
                </c:pt>
                <c:pt idx="4">
                  <c:v>592280.6414322122</c:v>
                </c:pt>
                <c:pt idx="5">
                  <c:v>449510.79836606921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0C-4632-B786-B02AC23833D7}"/>
            </c:ext>
          </c:extLst>
        </c:ser>
        <c:ser>
          <c:idx val="2"/>
          <c:order val="2"/>
          <c:tx>
            <c:strRef>
              <c:f>'Old Calculations'!$A$48</c:f>
              <c:strCache>
                <c:ptCount val="1"/>
                <c:pt idx="0">
                  <c:v>20%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'Old Calculations'!$B$45:$G$45</c:f>
              <c:strCache>
                <c:ptCount val="6"/>
                <c:pt idx="0">
                  <c:v>Base Scenario</c:v>
                </c:pt>
                <c:pt idx="1">
                  <c:v>Scenario 1</c:v>
                </c:pt>
                <c:pt idx="2">
                  <c:v>Scenario 2</c:v>
                </c:pt>
                <c:pt idx="3">
                  <c:v>Scenario 3</c:v>
                </c:pt>
                <c:pt idx="4">
                  <c:v>Scenario 4</c:v>
                </c:pt>
                <c:pt idx="5">
                  <c:v>Scenario 5</c:v>
                </c:pt>
              </c:strCache>
            </c:strRef>
          </c:cat>
          <c:val>
            <c:numRef>
              <c:f>'Old Calculations'!$B$48:$G$48</c:f>
              <c:numCache>
                <c:formatCode>_(* #,##0.00_);_(* \(#,##0.00\);_(* "-"??_);_(@_)</c:formatCode>
                <c:ptCount val="6"/>
                <c:pt idx="0">
                  <c:v>751600.94597100047</c:v>
                </c:pt>
                <c:pt idx="1">
                  <c:v>818723.99101913103</c:v>
                </c:pt>
                <c:pt idx="2" formatCode="General">
                  <c:v>636736.63706730295</c:v>
                </c:pt>
                <c:pt idx="3" formatCode="General">
                  <c:v>490105.10426576401</c:v>
                </c:pt>
                <c:pt idx="4" formatCode="General">
                  <c:v>586038.90403728804</c:v>
                </c:pt>
                <c:pt idx="5" formatCode="General">
                  <c:v>425257.50693202502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0C-4632-B786-B02AC2383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477184"/>
        <c:axId val="269477664"/>
      </c:barChart>
      <c:catAx>
        <c:axId val="26947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69477664"/>
        <c:crosses val="autoZero"/>
        <c:auto val="1"/>
        <c:lblAlgn val="ctr"/>
        <c:lblOffset val="100"/>
        <c:noMultiLvlLbl val="0"/>
      </c:catAx>
      <c:valAx>
        <c:axId val="2694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2694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20</xdr:row>
      <xdr:rowOff>0</xdr:rowOff>
    </xdr:from>
    <xdr:to>
      <xdr:col>4</xdr:col>
      <xdr:colOff>640080</xdr:colOff>
      <xdr:row>35</xdr:row>
      <xdr:rowOff>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1FF99B29-BF37-4FA0-B9F4-3FFB19447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664845</xdr:colOff>
      <xdr:row>26</xdr:row>
      <xdr:rowOff>110490</xdr:rowOff>
    </xdr:from>
    <xdr:to>
      <xdr:col>7</xdr:col>
      <xdr:colOff>649605</xdr:colOff>
      <xdr:row>41</xdr:row>
      <xdr:rowOff>110490</xdr:rowOff>
    </xdr:to>
    <xdr:graphicFrame macro="">
      <xdr:nvGraphicFramePr>
        <xdr:cNvPr id="46" name="Chart 2">
          <a:extLst>
            <a:ext uri="{FF2B5EF4-FFF2-40B4-BE49-F238E27FC236}">
              <a16:creationId xmlns:a16="http://schemas.microsoft.com/office/drawing/2014/main" id="{604A3256-78A8-4620-BC3F-FF81D4E05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533400</xdr:colOff>
      <xdr:row>2</xdr:row>
      <xdr:rowOff>19050</xdr:rowOff>
    </xdr:from>
    <xdr:to>
      <xdr:col>0</xdr:col>
      <xdr:colOff>533400</xdr:colOff>
      <xdr:row>2</xdr:row>
      <xdr:rowOff>19050</xdr:rowOff>
    </xdr:to>
    <xdr:graphicFrame macro="">
      <xdr:nvGraphicFramePr>
        <xdr:cNvPr id="27" name="Diagram 3">
          <a:extLst>
            <a:ext uri="{FF2B5EF4-FFF2-40B4-BE49-F238E27FC236}">
              <a16:creationId xmlns:a16="http://schemas.microsoft.com/office/drawing/2014/main" id="{78EBA780-9F30-49E9-979B-4C572BD6ACD9}"/>
            </a:ext>
            <a:ext uri="{147F2762-F138-4A5C-976F-8EAC2B608ADB}">
              <a16:predDERef xmlns:a16="http://schemas.microsoft.com/office/drawing/2014/main" pred="{F4BE0C3E-9BD8-DD94-AA63-3159F67AB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471487</xdr:colOff>
      <xdr:row>49</xdr:row>
      <xdr:rowOff>119062</xdr:rowOff>
    </xdr:from>
    <xdr:to>
      <xdr:col>10</xdr:col>
      <xdr:colOff>1471612</xdr:colOff>
      <xdr:row>69</xdr:row>
      <xdr:rowOff>4762</xdr:rowOff>
    </xdr:to>
    <xdr:graphicFrame macro="">
      <xdr:nvGraphicFramePr>
        <xdr:cNvPr id="36" name="Diagram 4">
          <a:extLst>
            <a:ext uri="{FF2B5EF4-FFF2-40B4-BE49-F238E27FC236}">
              <a16:creationId xmlns:a16="http://schemas.microsoft.com/office/drawing/2014/main" id="{F20EFDBD-72D6-4C1F-BA83-CC3EB495D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104775</xdr:colOff>
      <xdr:row>59</xdr:row>
      <xdr:rowOff>71437</xdr:rowOff>
    </xdr:from>
    <xdr:to>
      <xdr:col>7</xdr:col>
      <xdr:colOff>1562100</xdr:colOff>
      <xdr:row>73</xdr:row>
      <xdr:rowOff>147637</xdr:rowOff>
    </xdr:to>
    <xdr:graphicFrame macro="">
      <xdr:nvGraphicFramePr>
        <xdr:cNvPr id="45" name="Diagram 6">
          <a:extLst>
            <a:ext uri="{FF2B5EF4-FFF2-40B4-BE49-F238E27FC236}">
              <a16:creationId xmlns:a16="http://schemas.microsoft.com/office/drawing/2014/main" id="{80DCEB8A-7D6E-4145-A3C4-B73C9C6F45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1128346</xdr:colOff>
      <xdr:row>100</xdr:row>
      <xdr:rowOff>43961</xdr:rowOff>
    </xdr:from>
    <xdr:to>
      <xdr:col>8</xdr:col>
      <xdr:colOff>1133964</xdr:colOff>
      <xdr:row>119</xdr:row>
      <xdr:rowOff>42984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12310108-8CF4-8C20-0A8E-BDE61005B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</xdr:colOff>
      <xdr:row>16</xdr:row>
      <xdr:rowOff>53340</xdr:rowOff>
    </xdr:from>
    <xdr:to>
      <xdr:col>5</xdr:col>
      <xdr:colOff>868680</xdr:colOff>
      <xdr:row>31</xdr:row>
      <xdr:rowOff>53340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C2613C11-1412-CD46-7294-5C0FBDE73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175260</xdr:colOff>
      <xdr:row>16</xdr:row>
      <xdr:rowOff>60960</xdr:rowOff>
    </xdr:from>
    <xdr:to>
      <xdr:col>12</xdr:col>
      <xdr:colOff>106680</xdr:colOff>
      <xdr:row>31</xdr:row>
      <xdr:rowOff>60960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ABA387C1-693C-A19C-556D-916D864C3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45720</xdr:colOff>
      <xdr:row>32</xdr:row>
      <xdr:rowOff>106680</xdr:rowOff>
    </xdr:from>
    <xdr:to>
      <xdr:col>5</xdr:col>
      <xdr:colOff>883920</xdr:colOff>
      <xdr:row>47</xdr:row>
      <xdr:rowOff>106680</xdr:rowOff>
    </xdr:to>
    <xdr:graphicFrame macro="">
      <xdr:nvGraphicFramePr>
        <xdr:cNvPr id="23" name="Chart 3">
          <a:extLst>
            <a:ext uri="{FF2B5EF4-FFF2-40B4-BE49-F238E27FC236}">
              <a16:creationId xmlns:a16="http://schemas.microsoft.com/office/drawing/2014/main" id="{88082A59-71A3-8A53-55CE-31A69C2F4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20</xdr:row>
      <xdr:rowOff>0</xdr:rowOff>
    </xdr:from>
    <xdr:to>
      <xdr:col>4</xdr:col>
      <xdr:colOff>640080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ED015-0B6D-CE37-BACD-B20D9F99D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664845</xdr:colOff>
      <xdr:row>26</xdr:row>
      <xdr:rowOff>110490</xdr:rowOff>
    </xdr:from>
    <xdr:to>
      <xdr:col>7</xdr:col>
      <xdr:colOff>649605</xdr:colOff>
      <xdr:row>41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BE0C3E-9BD8-DD94-AA63-3159F67AB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533400</xdr:colOff>
      <xdr:row>2</xdr:row>
      <xdr:rowOff>19050</xdr:rowOff>
    </xdr:from>
    <xdr:to>
      <xdr:col>0</xdr:col>
      <xdr:colOff>533400</xdr:colOff>
      <xdr:row>2</xdr:row>
      <xdr:rowOff>19050</xdr:rowOff>
    </xdr:to>
    <xdr:graphicFrame macro="">
      <xdr:nvGraphicFramePr>
        <xdr:cNvPr id="6" name="Diagram 3">
          <a:extLst>
            <a:ext uri="{FF2B5EF4-FFF2-40B4-BE49-F238E27FC236}">
              <a16:creationId xmlns:a16="http://schemas.microsoft.com/office/drawing/2014/main" id="{BB867105-B33C-07D3-36D8-E7FE660FEF9A}"/>
            </a:ext>
            <a:ext uri="{147F2762-F138-4A5C-976F-8EAC2B608ADB}">
              <a16:predDERef xmlns:a16="http://schemas.microsoft.com/office/drawing/2014/main" pred="{F4BE0C3E-9BD8-DD94-AA63-3159F67AB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471487</xdr:colOff>
      <xdr:row>49</xdr:row>
      <xdr:rowOff>119062</xdr:rowOff>
    </xdr:from>
    <xdr:to>
      <xdr:col>10</xdr:col>
      <xdr:colOff>1471612</xdr:colOff>
      <xdr:row>69</xdr:row>
      <xdr:rowOff>4762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1A3185E2-4CF4-F88B-570B-0F37D7829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104775</xdr:colOff>
      <xdr:row>59</xdr:row>
      <xdr:rowOff>71437</xdr:rowOff>
    </xdr:from>
    <xdr:to>
      <xdr:col>7</xdr:col>
      <xdr:colOff>1562100</xdr:colOff>
      <xdr:row>73</xdr:row>
      <xdr:rowOff>147637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AF293EB6-D948-56A3-9654-DC6BAF5D4B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0</xdr:rowOff>
    </xdr:from>
    <xdr:to>
      <xdr:col>23</xdr:col>
      <xdr:colOff>342552</xdr:colOff>
      <xdr:row>14</xdr:row>
      <xdr:rowOff>127322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F21C84-E71D-11F0-20CF-81A6018E0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95220" y="182880"/>
          <a:ext cx="2780952" cy="250476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23</xdr:col>
      <xdr:colOff>161600</xdr:colOff>
      <xdr:row>26</xdr:row>
      <xdr:rowOff>171200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2201ED-3B57-7CE4-BABF-B437E076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5220" y="2926080"/>
          <a:ext cx="2600000" cy="20000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23</xdr:col>
      <xdr:colOff>237790</xdr:colOff>
      <xdr:row>38</xdr:row>
      <xdr:rowOff>161676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A04077-460A-3540-4203-8993C4D7A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95220" y="5120640"/>
          <a:ext cx="2676190" cy="1990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0</xdr:rowOff>
    </xdr:from>
    <xdr:to>
      <xdr:col>19</xdr:col>
      <xdr:colOff>256838</xdr:colOff>
      <xdr:row>12</xdr:row>
      <xdr:rowOff>35939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99863-0CC2-5CD4-CDFF-C62F4BBF3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182880"/>
          <a:ext cx="2695238" cy="204761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19</xdr:col>
      <xdr:colOff>571124</xdr:colOff>
      <xdr:row>27</xdr:row>
      <xdr:rowOff>136846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D6D858-C6E8-354B-1AFB-473589FEA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44000" y="2560320"/>
          <a:ext cx="3009524" cy="251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3</xdr:row>
      <xdr:rowOff>0</xdr:rowOff>
    </xdr:from>
    <xdr:to>
      <xdr:col>29</xdr:col>
      <xdr:colOff>266286</xdr:colOff>
      <xdr:row>19</xdr:row>
      <xdr:rowOff>54872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78677-D803-FE81-E3FF-3D8C26338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548640"/>
          <a:ext cx="3314286" cy="2980952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28</xdr:col>
      <xdr:colOff>428267</xdr:colOff>
      <xdr:row>36</xdr:row>
      <xdr:rowOff>66324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6402A2-EF1A-ECC1-0A51-F05EC65F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30400" y="3840480"/>
          <a:ext cx="2866667" cy="2809524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38</xdr:row>
      <xdr:rowOff>0</xdr:rowOff>
    </xdr:from>
    <xdr:to>
      <xdr:col>28</xdr:col>
      <xdr:colOff>237790</xdr:colOff>
      <xdr:row>50</xdr:row>
      <xdr:rowOff>34011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786045-D407-6F00-6DA0-154ED728B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30400" y="6949440"/>
          <a:ext cx="2676190" cy="2228571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</xdr:row>
      <xdr:rowOff>0</xdr:rowOff>
    </xdr:from>
    <xdr:to>
      <xdr:col>28</xdr:col>
      <xdr:colOff>304457</xdr:colOff>
      <xdr:row>62</xdr:row>
      <xdr:rowOff>152152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FAE9328-E514-6952-6309-E8134BDA8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30400" y="9509760"/>
          <a:ext cx="2742857" cy="19809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</xdr:row>
      <xdr:rowOff>0</xdr:rowOff>
    </xdr:from>
    <xdr:to>
      <xdr:col>32</xdr:col>
      <xdr:colOff>190095</xdr:colOff>
      <xdr:row>17</xdr:row>
      <xdr:rowOff>92968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7896F-F132-646A-AD8A-878141887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59200" y="182880"/>
          <a:ext cx="3238095" cy="3019048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31</xdr:col>
      <xdr:colOff>352076</xdr:colOff>
      <xdr:row>30</xdr:row>
      <xdr:rowOff>169272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6C89AF-695B-F5C4-CCA1-A43811058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0" y="3474720"/>
          <a:ext cx="2790476" cy="2180952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33</xdr:row>
      <xdr:rowOff>0</xdr:rowOff>
    </xdr:from>
    <xdr:to>
      <xdr:col>31</xdr:col>
      <xdr:colOff>333029</xdr:colOff>
      <xdr:row>48</xdr:row>
      <xdr:rowOff>1562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EE2F80-E606-7DA2-D6B0-7371E05AB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459200" y="6035040"/>
          <a:ext cx="2771429" cy="2742857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51</xdr:row>
      <xdr:rowOff>0</xdr:rowOff>
    </xdr:from>
    <xdr:to>
      <xdr:col>31</xdr:col>
      <xdr:colOff>323505</xdr:colOff>
      <xdr:row>62</xdr:row>
      <xdr:rowOff>26415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B0E94C-702C-F1C8-DB6A-26D14F474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59200" y="9326880"/>
          <a:ext cx="2761905" cy="20380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552450</xdr:colOff>
      <xdr:row>3</xdr:row>
      <xdr:rowOff>28575</xdr:rowOff>
    </xdr:from>
    <xdr:to>
      <xdr:col>26</xdr:col>
      <xdr:colOff>466355</xdr:colOff>
      <xdr:row>18</xdr:row>
      <xdr:rowOff>11088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F7CC1-4C20-793F-753F-351541AF3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0" y="600075"/>
          <a:ext cx="2961905" cy="284001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24</xdr:col>
      <xdr:colOff>228267</xdr:colOff>
      <xdr:row>30</xdr:row>
      <xdr:rowOff>22560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F8CB09-480C-D322-CF6C-4F371BDD2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0" y="3108960"/>
          <a:ext cx="2666667" cy="24000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24</xdr:col>
      <xdr:colOff>352076</xdr:colOff>
      <xdr:row>43</xdr:row>
      <xdr:rowOff>74034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9E7003-44C8-FDCA-5EF5-0FFB7E4A7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0" y="5852160"/>
          <a:ext cx="2790476" cy="20857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30</xdr:col>
      <xdr:colOff>342552</xdr:colOff>
      <xdr:row>14</xdr:row>
      <xdr:rowOff>165417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671A44-7990-F3E8-02D5-79F388D13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49600" y="182880"/>
          <a:ext cx="2780952" cy="2542857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31</xdr:col>
      <xdr:colOff>85333</xdr:colOff>
      <xdr:row>31</xdr:row>
      <xdr:rowOff>163489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47915C-EB62-D981-1208-01DE17FCC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3108960"/>
          <a:ext cx="3133333" cy="2723809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</xdr:row>
      <xdr:rowOff>0</xdr:rowOff>
    </xdr:from>
    <xdr:to>
      <xdr:col>30</xdr:col>
      <xdr:colOff>352076</xdr:colOff>
      <xdr:row>44</xdr:row>
      <xdr:rowOff>35939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8C1AC0-F16C-C536-E986-726B0E08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9600" y="6035040"/>
          <a:ext cx="2790476" cy="20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E53C-7DE6-43BB-B81B-CBF573337F53}">
  <dimension ref="A3:T116"/>
  <sheetViews>
    <sheetView tabSelected="1" zoomScale="65" workbookViewId="0">
      <selection activeCell="B117" sqref="B117"/>
    </sheetView>
  </sheetViews>
  <sheetFormatPr defaultRowHeight="15" x14ac:dyDescent="0.25"/>
  <cols>
    <col min="1" max="1" width="9.85546875" bestFit="1" customWidth="1"/>
    <col min="2" max="2" width="38.140625" bestFit="1" customWidth="1"/>
    <col min="3" max="3" width="22.140625" customWidth="1"/>
    <col min="4" max="4" width="19.5703125" customWidth="1"/>
    <col min="5" max="6" width="20.140625" customWidth="1"/>
    <col min="7" max="7" width="26.42578125" customWidth="1"/>
    <col min="8" max="8" width="28.5703125" bestFit="1" customWidth="1"/>
    <col min="9" max="9" width="28.85546875" bestFit="1" customWidth="1"/>
    <col min="10" max="11" width="24.85546875" customWidth="1"/>
    <col min="12" max="12" width="23.42578125" customWidth="1"/>
    <col min="13" max="13" width="26.42578125" customWidth="1"/>
    <col min="14" max="14" width="24.85546875" customWidth="1"/>
    <col min="15" max="16" width="29.140625" customWidth="1"/>
    <col min="17" max="17" width="17.85546875" customWidth="1"/>
    <col min="18" max="18" width="14.140625" customWidth="1"/>
    <col min="19" max="19" width="14" customWidth="1"/>
    <col min="20" max="20" width="14.5703125" customWidth="1"/>
  </cols>
  <sheetData>
    <row r="3" spans="2:17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291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2:17" x14ac:dyDescent="0.25">
      <c r="B4" t="s">
        <v>16</v>
      </c>
      <c r="C4">
        <v>118388.98836493101</v>
      </c>
      <c r="D4">
        <v>717929.97281634202</v>
      </c>
      <c r="E4">
        <v>42357.879931504802</v>
      </c>
      <c r="G4">
        <f t="shared" ref="G4:G9" si="0">E4+F4</f>
        <v>42357.879931504802</v>
      </c>
      <c r="H4">
        <f t="shared" ref="H4:H9" si="1">D4+G4-I4</f>
        <v>760287.85274784686</v>
      </c>
      <c r="L4">
        <v>455079.98588999797</v>
      </c>
    </row>
    <row r="5" spans="2:17" x14ac:dyDescent="0.25">
      <c r="B5" t="s">
        <v>17</v>
      </c>
      <c r="C5">
        <v>157208.02938473699</v>
      </c>
      <c r="D5">
        <v>816834.57586005202</v>
      </c>
      <c r="G5">
        <f t="shared" si="0"/>
        <v>0</v>
      </c>
      <c r="H5">
        <f t="shared" si="1"/>
        <v>816834.57586005202</v>
      </c>
      <c r="L5">
        <v>455079.98588999797</v>
      </c>
      <c r="M5" s="1">
        <v>123079.97784978199</v>
      </c>
    </row>
    <row r="6" spans="2:17" x14ac:dyDescent="0.25">
      <c r="B6" t="s">
        <v>18</v>
      </c>
      <c r="C6">
        <v>118426.623204979</v>
      </c>
      <c r="D6">
        <v>619590.90029693197</v>
      </c>
      <c r="E6">
        <v>42357.879931504802</v>
      </c>
      <c r="G6">
        <f t="shared" si="0"/>
        <v>42357.879931504802</v>
      </c>
      <c r="H6">
        <f t="shared" si="1"/>
        <v>661948.78022843681</v>
      </c>
      <c r="L6">
        <v>455079.98588999797</v>
      </c>
      <c r="M6" s="1">
        <v>123079.97784978199</v>
      </c>
      <c r="O6" s="1">
        <v>332115.15998034697</v>
      </c>
      <c r="P6" s="1">
        <v>66955.007570000307</v>
      </c>
    </row>
    <row r="7" spans="2:17" x14ac:dyDescent="0.25">
      <c r="B7" t="s">
        <v>19</v>
      </c>
      <c r="C7">
        <v>-10611.1954333176</v>
      </c>
      <c r="D7">
        <v>356645.98423733702</v>
      </c>
      <c r="E7">
        <v>183135.53952738599</v>
      </c>
      <c r="G7">
        <f t="shared" si="0"/>
        <v>183135.53952738599</v>
      </c>
      <c r="H7">
        <f t="shared" si="1"/>
        <v>539781.52376472298</v>
      </c>
      <c r="L7">
        <v>455079.98588999797</v>
      </c>
      <c r="M7" s="1">
        <v>532139.90376229305</v>
      </c>
      <c r="O7" s="1">
        <v>-77007.710611347706</v>
      </c>
      <c r="P7">
        <v>4538.0169788106105</v>
      </c>
    </row>
    <row r="8" spans="2:17" x14ac:dyDescent="0.25">
      <c r="B8" t="s">
        <v>20</v>
      </c>
      <c r="C8">
        <v>64316.093561695299</v>
      </c>
      <c r="D8">
        <v>412566.659568423</v>
      </c>
      <c r="E8">
        <v>42357.879931504802</v>
      </c>
      <c r="F8">
        <v>142672.50030822301</v>
      </c>
      <c r="G8">
        <f t="shared" si="0"/>
        <v>185030.38023972782</v>
      </c>
      <c r="H8">
        <f t="shared" si="1"/>
        <v>590828.1688081508</v>
      </c>
      <c r="I8" s="1">
        <v>6768.8710000000001</v>
      </c>
      <c r="L8">
        <v>455079.98588999797</v>
      </c>
      <c r="M8" s="1">
        <v>123079.97784978199</v>
      </c>
      <c r="N8" s="1">
        <v>230112.91800000001</v>
      </c>
    </row>
    <row r="9" spans="2:17" x14ac:dyDescent="0.25">
      <c r="B9" t="s">
        <v>21</v>
      </c>
      <c r="C9">
        <v>-76363.171016907305</v>
      </c>
      <c r="D9">
        <v>144949.77883775899</v>
      </c>
      <c r="E9">
        <v>183135.53952738599</v>
      </c>
      <c r="F9">
        <v>142672.50030822301</v>
      </c>
      <c r="G9">
        <f t="shared" si="0"/>
        <v>325808.03983560903</v>
      </c>
      <c r="H9">
        <f t="shared" si="1"/>
        <v>447764.76167336805</v>
      </c>
      <c r="I9">
        <v>22993.057000000001</v>
      </c>
      <c r="L9">
        <v>455079.98588999797</v>
      </c>
      <c r="M9" s="1">
        <v>532139.90376229305</v>
      </c>
      <c r="N9" s="1">
        <v>230112.91800000001</v>
      </c>
    </row>
    <row r="11" spans="2:17" x14ac:dyDescent="0.25">
      <c r="B11">
        <f>27/137</f>
        <v>0.19708029197080293</v>
      </c>
      <c r="E11">
        <f>(E9+F9)/E9</f>
        <v>1.7790541403182307</v>
      </c>
    </row>
    <row r="12" spans="2:17" x14ac:dyDescent="0.25">
      <c r="B12" t="str">
        <f t="shared" ref="B12:C18" si="2">B3</f>
        <v>Scenario</v>
      </c>
      <c r="C12" t="str">
        <f t="shared" si="2"/>
        <v>CO2 emissions [kg]</v>
      </c>
      <c r="E12" t="str">
        <f t="shared" ref="E12:E18" si="3">B3</f>
        <v>Scenario</v>
      </c>
      <c r="F12" t="s">
        <v>22</v>
      </c>
      <c r="G12" t="str">
        <f t="shared" ref="G12:H18" si="4">E3</f>
        <v>Cost of PV</v>
      </c>
      <c r="H12" t="str">
        <f t="shared" si="4"/>
        <v>Cost of wind turbine</v>
      </c>
      <c r="I12" t="s">
        <v>1</v>
      </c>
    </row>
    <row r="13" spans="2:17" x14ac:dyDescent="0.25">
      <c r="B13" t="str">
        <f t="shared" si="2"/>
        <v>Base case</v>
      </c>
      <c r="C13">
        <f t="shared" si="2"/>
        <v>118388.98836493101</v>
      </c>
      <c r="D13" s="3">
        <f t="shared" ref="D13:D18" si="5">C13/$C$14</f>
        <v>0.75307214795750854</v>
      </c>
      <c r="E13" t="str">
        <f t="shared" si="3"/>
        <v>Base case</v>
      </c>
      <c r="F13" s="2">
        <f t="shared" ref="F13:F18" si="6">D4-I4</f>
        <v>717929.97281634202</v>
      </c>
      <c r="G13" s="2">
        <f t="shared" si="4"/>
        <v>42357.879931504802</v>
      </c>
      <c r="H13" s="2">
        <f t="shared" si="4"/>
        <v>0</v>
      </c>
      <c r="I13" s="2">
        <f t="shared" ref="I13:I18" si="7">C4</f>
        <v>118388.98836493101</v>
      </c>
      <c r="J13">
        <f t="shared" ref="J13:J18" si="8">(F13+G13+H13)/$F$14</f>
        <v>0.93077334777036513</v>
      </c>
    </row>
    <row r="14" spans="2:17" x14ac:dyDescent="0.25">
      <c r="B14" t="str">
        <f t="shared" si="2"/>
        <v>Scenario 1</v>
      </c>
      <c r="C14">
        <f t="shared" si="2"/>
        <v>157208.02938473699</v>
      </c>
      <c r="D14" s="3">
        <f t="shared" si="5"/>
        <v>1</v>
      </c>
      <c r="E14" t="str">
        <f t="shared" si="3"/>
        <v>Scenario 1</v>
      </c>
      <c r="F14" s="2">
        <f t="shared" si="6"/>
        <v>816834.57586005202</v>
      </c>
      <c r="G14" s="2">
        <f t="shared" si="4"/>
        <v>0</v>
      </c>
      <c r="H14" s="2">
        <f t="shared" si="4"/>
        <v>0</v>
      </c>
      <c r="I14" s="2">
        <f t="shared" si="7"/>
        <v>157208.02938473699</v>
      </c>
      <c r="J14">
        <f t="shared" si="8"/>
        <v>1</v>
      </c>
    </row>
    <row r="15" spans="2:17" x14ac:dyDescent="0.25">
      <c r="B15" t="str">
        <f t="shared" si="2"/>
        <v>Scenario 2</v>
      </c>
      <c r="C15">
        <f t="shared" si="2"/>
        <v>118426.623204979</v>
      </c>
      <c r="D15" s="3">
        <f t="shared" si="5"/>
        <v>0.7533115431092402</v>
      </c>
      <c r="E15" t="str">
        <f t="shared" si="3"/>
        <v>Scenario 2</v>
      </c>
      <c r="F15" s="2">
        <f t="shared" si="6"/>
        <v>619590.90029693197</v>
      </c>
      <c r="G15" s="2">
        <f t="shared" si="4"/>
        <v>42357.879931504802</v>
      </c>
      <c r="H15" s="2">
        <f t="shared" si="4"/>
        <v>0</v>
      </c>
      <c r="I15" s="2">
        <f t="shared" si="7"/>
        <v>118426.623204979</v>
      </c>
      <c r="J15">
        <f t="shared" si="8"/>
        <v>0.81038290957684467</v>
      </c>
    </row>
    <row r="16" spans="2:17" x14ac:dyDescent="0.25">
      <c r="B16" t="str">
        <f t="shared" si="2"/>
        <v>Scenario 3</v>
      </c>
      <c r="C16">
        <f t="shared" si="2"/>
        <v>-10611.1954333176</v>
      </c>
      <c r="D16" s="3">
        <f t="shared" si="5"/>
        <v>-6.7497795595088214E-2</v>
      </c>
      <c r="E16" t="str">
        <f t="shared" si="3"/>
        <v>Scenario 3</v>
      </c>
      <c r="F16" s="2">
        <f t="shared" si="6"/>
        <v>356645.98423733702</v>
      </c>
      <c r="G16" s="2">
        <f t="shared" si="4"/>
        <v>183135.53952738599</v>
      </c>
      <c r="H16" s="2">
        <f t="shared" si="4"/>
        <v>0</v>
      </c>
      <c r="I16" s="2">
        <f t="shared" si="7"/>
        <v>-10611.1954333176</v>
      </c>
      <c r="J16">
        <f t="shared" si="8"/>
        <v>0.66082110101226121</v>
      </c>
    </row>
    <row r="17" spans="2:20" x14ac:dyDescent="0.25">
      <c r="B17" t="str">
        <f t="shared" si="2"/>
        <v>Scenario 4</v>
      </c>
      <c r="C17">
        <f t="shared" si="2"/>
        <v>64316.093561695299</v>
      </c>
      <c r="D17" s="3">
        <f t="shared" si="5"/>
        <v>0.40911455867367813</v>
      </c>
      <c r="E17" t="str">
        <f t="shared" si="3"/>
        <v>Scenario 4</v>
      </c>
      <c r="F17" s="2">
        <f t="shared" si="6"/>
        <v>405797.78856842301</v>
      </c>
      <c r="G17" s="2">
        <f t="shared" si="4"/>
        <v>42357.879931504802</v>
      </c>
      <c r="H17" s="2">
        <f t="shared" si="4"/>
        <v>142672.50030822301</v>
      </c>
      <c r="I17" s="2">
        <f t="shared" si="7"/>
        <v>64316.093561695299</v>
      </c>
      <c r="J17">
        <f t="shared" si="8"/>
        <v>0.72331434817883755</v>
      </c>
    </row>
    <row r="18" spans="2:20" x14ac:dyDescent="0.25">
      <c r="B18" t="str">
        <f t="shared" si="2"/>
        <v>Scenario 5</v>
      </c>
      <c r="C18">
        <f t="shared" si="2"/>
        <v>-76363.171016907305</v>
      </c>
      <c r="D18" s="3">
        <f t="shared" si="5"/>
        <v>-0.48574599729904921</v>
      </c>
      <c r="E18" t="str">
        <f t="shared" si="3"/>
        <v>Scenario 5</v>
      </c>
      <c r="F18" s="2">
        <f t="shared" si="6"/>
        <v>121956.72183775899</v>
      </c>
      <c r="G18" s="2">
        <f t="shared" si="4"/>
        <v>183135.53952738599</v>
      </c>
      <c r="H18" s="2">
        <f t="shared" si="4"/>
        <v>142672.50030822301</v>
      </c>
      <c r="I18" s="2">
        <f t="shared" si="7"/>
        <v>-76363.171016907305</v>
      </c>
      <c r="J18">
        <f t="shared" si="8"/>
        <v>0.54817067605385428</v>
      </c>
      <c r="O18">
        <v>676.221</v>
      </c>
      <c r="P18" s="1">
        <v>2009.296</v>
      </c>
      <c r="R18" s="1">
        <v>3312.3919999999998</v>
      </c>
      <c r="S18" s="1">
        <v>5565.6689999999999</v>
      </c>
      <c r="T18" s="1">
        <v>6204.3919999999998</v>
      </c>
    </row>
    <row r="20" spans="2:20" x14ac:dyDescent="0.25">
      <c r="F20" s="7"/>
      <c r="H20" t="s">
        <v>0</v>
      </c>
    </row>
    <row r="21" spans="2:20" ht="15.75" x14ac:dyDescent="0.25">
      <c r="H21" t="s">
        <v>16</v>
      </c>
      <c r="I21">
        <f t="shared" ref="I21:I26" si="9">(H$4-(H$4-H4))/(H$4)</f>
        <v>1</v>
      </c>
      <c r="J21">
        <f t="shared" ref="J21:J26" si="10">H$4-H4</f>
        <v>0</v>
      </c>
      <c r="K21">
        <f t="shared" ref="K21:K26" si="11">C4</f>
        <v>118388.98836493101</v>
      </c>
      <c r="N21" s="33" t="s">
        <v>304</v>
      </c>
      <c r="O21" s="33" t="s">
        <v>24</v>
      </c>
      <c r="P21" s="33" t="s">
        <v>17</v>
      </c>
      <c r="Q21" s="33" t="s">
        <v>18</v>
      </c>
      <c r="R21" s="33" t="s">
        <v>19</v>
      </c>
      <c r="S21" s="33" t="s">
        <v>20</v>
      </c>
      <c r="T21" s="33" t="s">
        <v>21</v>
      </c>
    </row>
    <row r="22" spans="2:20" x14ac:dyDescent="0.25">
      <c r="H22" t="s">
        <v>17</v>
      </c>
      <c r="I22">
        <f t="shared" si="9"/>
        <v>1.0743754130857581</v>
      </c>
      <c r="J22">
        <f t="shared" si="10"/>
        <v>-56546.72311220516</v>
      </c>
      <c r="K22">
        <f t="shared" si="11"/>
        <v>157208.02938473699</v>
      </c>
      <c r="L22">
        <f>(K$21-(K$21-K22))/(K$21)</f>
        <v>1.3278940174752343</v>
      </c>
      <c r="N22" s="28">
        <v>-0.2</v>
      </c>
      <c r="O22" s="29">
        <v>634</v>
      </c>
      <c r="P22" s="30">
        <v>0</v>
      </c>
      <c r="Q22" s="31">
        <v>1759</v>
      </c>
      <c r="R22" s="29">
        <v>3154</v>
      </c>
      <c r="S22" s="29">
        <v>5438</v>
      </c>
      <c r="T22" s="29">
        <v>6129</v>
      </c>
    </row>
    <row r="23" spans="2:20" x14ac:dyDescent="0.25">
      <c r="H23" t="s">
        <v>18</v>
      </c>
      <c r="I23">
        <f t="shared" si="9"/>
        <v>0.87065547323426107</v>
      </c>
      <c r="J23">
        <f t="shared" si="10"/>
        <v>98339.072519410052</v>
      </c>
      <c r="K23">
        <f t="shared" si="11"/>
        <v>118426.623204979</v>
      </c>
      <c r="L23">
        <f>(K$21-(K$21-K23))/(K$21)</f>
        <v>1.000317891389797</v>
      </c>
      <c r="N23" s="29" t="s">
        <v>25</v>
      </c>
      <c r="O23" s="30">
        <v>676</v>
      </c>
      <c r="P23" s="30">
        <v>0</v>
      </c>
      <c r="Q23" s="30">
        <v>2009</v>
      </c>
      <c r="R23" s="30">
        <v>3312</v>
      </c>
      <c r="S23" s="30">
        <v>5565</v>
      </c>
      <c r="T23" s="30">
        <v>6204</v>
      </c>
    </row>
    <row r="24" spans="2:20" x14ac:dyDescent="0.25">
      <c r="H24" t="s">
        <v>19</v>
      </c>
      <c r="I24">
        <f t="shared" si="9"/>
        <v>0.70996994337583363</v>
      </c>
      <c r="J24">
        <f t="shared" si="10"/>
        <v>220506.32898312388</v>
      </c>
      <c r="K24">
        <f t="shared" si="11"/>
        <v>-10611.1954333176</v>
      </c>
      <c r="L24">
        <f>(K$21-(K$21-K24))/(K$21)</f>
        <v>-8.9629918963483837E-2</v>
      </c>
      <c r="N24" s="28">
        <v>0.2</v>
      </c>
      <c r="O24" s="30">
        <v>707</v>
      </c>
      <c r="P24" s="30">
        <v>0</v>
      </c>
      <c r="Q24" s="29">
        <v>2204</v>
      </c>
      <c r="R24" s="29">
        <v>3430</v>
      </c>
      <c r="S24" s="29">
        <v>5664</v>
      </c>
      <c r="T24" s="29">
        <v>6261</v>
      </c>
    </row>
    <row r="25" spans="2:20" x14ac:dyDescent="0.25">
      <c r="H25" t="s">
        <v>20</v>
      </c>
      <c r="I25">
        <f t="shared" si="9"/>
        <v>0.77711115161549449</v>
      </c>
      <c r="J25">
        <f t="shared" si="10"/>
        <v>169459.68393969606</v>
      </c>
      <c r="K25">
        <f t="shared" si="11"/>
        <v>64316.093561695299</v>
      </c>
      <c r="L25">
        <f>(K$21-(K$21-K25))/(K$21)</f>
        <v>0.54326077492479785</v>
      </c>
      <c r="N25" s="28">
        <v>-0.2</v>
      </c>
      <c r="O25" s="31">
        <f t="shared" ref="O25:T27" si="12">O22/8760*100</f>
        <v>7.237442922374429</v>
      </c>
      <c r="P25" s="31">
        <f t="shared" si="12"/>
        <v>0</v>
      </c>
      <c r="Q25" s="31">
        <f t="shared" si="12"/>
        <v>20.079908675799089</v>
      </c>
      <c r="R25" s="31">
        <f t="shared" si="12"/>
        <v>36.004566210045667</v>
      </c>
      <c r="S25" s="31">
        <f t="shared" si="12"/>
        <v>62.077625570776249</v>
      </c>
      <c r="T25" s="31">
        <f t="shared" si="12"/>
        <v>69.965753424657535</v>
      </c>
    </row>
    <row r="26" spans="2:20" x14ac:dyDescent="0.25">
      <c r="H26" t="s">
        <v>21</v>
      </c>
      <c r="I26">
        <f t="shared" si="9"/>
        <v>0.588941096526859</v>
      </c>
      <c r="J26">
        <f t="shared" si="10"/>
        <v>312523.09107447881</v>
      </c>
      <c r="K26">
        <f t="shared" si="11"/>
        <v>-76363.171016907305</v>
      </c>
      <c r="L26">
        <f>(K$21-(K$21-K26))/(K$21)</f>
        <v>-0.64501920382594868</v>
      </c>
      <c r="N26" s="29" t="s">
        <v>26</v>
      </c>
      <c r="O26" s="31">
        <f t="shared" si="12"/>
        <v>7.7168949771689501</v>
      </c>
      <c r="P26" s="31">
        <f t="shared" si="12"/>
        <v>0</v>
      </c>
      <c r="Q26" s="31">
        <f t="shared" si="12"/>
        <v>22.9337899543379</v>
      </c>
      <c r="R26" s="31">
        <f t="shared" si="12"/>
        <v>37.80821917808219</v>
      </c>
      <c r="S26" s="31">
        <f t="shared" si="12"/>
        <v>63.527397260273979</v>
      </c>
      <c r="T26" s="31">
        <f t="shared" si="12"/>
        <v>70.821917808219183</v>
      </c>
    </row>
    <row r="27" spans="2:20" x14ac:dyDescent="0.25">
      <c r="N27" s="32">
        <v>0.2</v>
      </c>
      <c r="O27" s="31">
        <f t="shared" si="12"/>
        <v>8.0707762557077629</v>
      </c>
      <c r="P27" s="31">
        <f t="shared" si="12"/>
        <v>0</v>
      </c>
      <c r="Q27" s="31">
        <f t="shared" si="12"/>
        <v>25.159817351598175</v>
      </c>
      <c r="R27" s="31">
        <f t="shared" si="12"/>
        <v>39.155251141552512</v>
      </c>
      <c r="S27" s="31">
        <f t="shared" si="12"/>
        <v>64.657534246575338</v>
      </c>
      <c r="T27" s="31">
        <f t="shared" si="12"/>
        <v>71.472602739726028</v>
      </c>
    </row>
    <row r="28" spans="2:20" x14ac:dyDescent="0.25">
      <c r="N28" t="s">
        <v>27</v>
      </c>
      <c r="O28" s="7">
        <f t="shared" ref="O28:T28" si="13">O25-O26</f>
        <v>-0.47945205479452113</v>
      </c>
      <c r="P28" s="7">
        <f t="shared" si="13"/>
        <v>0</v>
      </c>
      <c r="Q28" s="7">
        <f t="shared" si="13"/>
        <v>-2.853881278538811</v>
      </c>
      <c r="R28" s="7">
        <f t="shared" si="13"/>
        <v>-1.8036529680365234</v>
      </c>
      <c r="S28" s="7">
        <f t="shared" si="13"/>
        <v>-1.4497716894977302</v>
      </c>
      <c r="T28" s="7">
        <f t="shared" si="13"/>
        <v>-0.85616438356164792</v>
      </c>
    </row>
    <row r="29" spans="2:20" x14ac:dyDescent="0.25">
      <c r="I29" t="s">
        <v>0</v>
      </c>
      <c r="J29" t="s">
        <v>28</v>
      </c>
      <c r="K29" t="s">
        <v>29</v>
      </c>
      <c r="L29" t="s">
        <v>30</v>
      </c>
      <c r="N29" t="s">
        <v>27</v>
      </c>
      <c r="O29" s="7">
        <f t="shared" ref="O29:T29" si="14">O26-O26</f>
        <v>0</v>
      </c>
      <c r="P29" s="7">
        <f t="shared" si="14"/>
        <v>0</v>
      </c>
      <c r="Q29" s="7">
        <f t="shared" si="14"/>
        <v>0</v>
      </c>
      <c r="R29" s="7">
        <f t="shared" si="14"/>
        <v>0</v>
      </c>
      <c r="S29" s="7">
        <f t="shared" si="14"/>
        <v>0</v>
      </c>
      <c r="T29" s="7">
        <f t="shared" si="14"/>
        <v>0</v>
      </c>
    </row>
    <row r="30" spans="2:20" x14ac:dyDescent="0.25">
      <c r="I30" t="s">
        <v>16</v>
      </c>
      <c r="L30">
        <f>D6/D4*L32</f>
        <v>0.23260458662585337</v>
      </c>
      <c r="M30" s="1">
        <v>456745.18599999999</v>
      </c>
      <c r="N30" t="s">
        <v>27</v>
      </c>
      <c r="O30" s="7">
        <f t="shared" ref="O30:T30" si="15">O27-O26</f>
        <v>0.35388127853881279</v>
      </c>
      <c r="P30" s="7">
        <f t="shared" si="15"/>
        <v>0</v>
      </c>
      <c r="Q30" s="7">
        <f t="shared" si="15"/>
        <v>2.2260273972602747</v>
      </c>
      <c r="R30" s="7">
        <f t="shared" si="15"/>
        <v>1.3470319634703216</v>
      </c>
      <c r="S30" s="7">
        <f t="shared" si="15"/>
        <v>1.1301369863013591</v>
      </c>
      <c r="T30" s="7">
        <f t="shared" si="15"/>
        <v>0.65068493150684503</v>
      </c>
    </row>
    <row r="31" spans="2:20" x14ac:dyDescent="0.25">
      <c r="I31" t="s">
        <v>17</v>
      </c>
      <c r="J31">
        <v>0</v>
      </c>
      <c r="M31" s="1">
        <v>456745.18599999999</v>
      </c>
      <c r="N31" t="s">
        <v>27</v>
      </c>
      <c r="O31" s="7">
        <f t="shared" ref="O31:T31" si="16">O22-O23</f>
        <v>-42</v>
      </c>
      <c r="P31" s="7">
        <f t="shared" si="16"/>
        <v>0</v>
      </c>
      <c r="Q31" s="7">
        <f t="shared" si="16"/>
        <v>-250</v>
      </c>
      <c r="R31" s="7">
        <f t="shared" si="16"/>
        <v>-158</v>
      </c>
      <c r="S31" s="7">
        <f t="shared" si="16"/>
        <v>-127</v>
      </c>
      <c r="T31" s="7">
        <f t="shared" si="16"/>
        <v>-75</v>
      </c>
    </row>
    <row r="32" spans="2:20" x14ac:dyDescent="0.25">
      <c r="I32" t="s">
        <v>18</v>
      </c>
      <c r="J32" s="1">
        <v>123103.19</v>
      </c>
      <c r="L32">
        <f>J32/M32</f>
        <v>0.26952268742685775</v>
      </c>
      <c r="M32" s="1">
        <v>456745.18599999999</v>
      </c>
      <c r="N32" t="s">
        <v>27</v>
      </c>
      <c r="O32" s="7">
        <f t="shared" ref="O32:T32" si="17">O23-O23</f>
        <v>0</v>
      </c>
      <c r="P32" s="7">
        <f t="shared" si="17"/>
        <v>0</v>
      </c>
      <c r="Q32" s="7">
        <f t="shared" si="17"/>
        <v>0</v>
      </c>
      <c r="R32" s="7">
        <f t="shared" si="17"/>
        <v>0</v>
      </c>
      <c r="S32" s="7">
        <f t="shared" si="17"/>
        <v>0</v>
      </c>
      <c r="T32" s="7">
        <f t="shared" si="17"/>
        <v>0</v>
      </c>
    </row>
    <row r="33" spans="1:20" x14ac:dyDescent="0.25">
      <c r="I33" t="s">
        <v>19</v>
      </c>
      <c r="J33" s="1">
        <v>532240.26399999997</v>
      </c>
      <c r="L33">
        <f>J33/M33</f>
        <v>1.1652892691900205</v>
      </c>
      <c r="M33" s="1">
        <v>456745.18599999999</v>
      </c>
      <c r="N33" t="s">
        <v>27</v>
      </c>
      <c r="O33" s="7">
        <f t="shared" ref="O33:T33" si="18">O24-O23</f>
        <v>31</v>
      </c>
      <c r="P33" s="7">
        <f t="shared" si="18"/>
        <v>0</v>
      </c>
      <c r="Q33" s="7">
        <f t="shared" si="18"/>
        <v>195</v>
      </c>
      <c r="R33" s="7">
        <f t="shared" si="18"/>
        <v>118</v>
      </c>
      <c r="S33" s="7">
        <f t="shared" si="18"/>
        <v>99</v>
      </c>
      <c r="T33" s="7">
        <f t="shared" si="18"/>
        <v>57</v>
      </c>
    </row>
    <row r="34" spans="1:20" x14ac:dyDescent="0.25">
      <c r="I34" t="s">
        <v>20</v>
      </c>
      <c r="J34" s="8">
        <f>J32</f>
        <v>123103.19</v>
      </c>
      <c r="K34">
        <f>J34*K36</f>
        <v>8789.1156239167976</v>
      </c>
      <c r="L34">
        <f>(J34+K34)/M34</f>
        <v>0.2887656173871897</v>
      </c>
      <c r="M34" s="1">
        <v>456745.18599999999</v>
      </c>
    </row>
    <row r="35" spans="1:20" x14ac:dyDescent="0.25">
      <c r="I35" t="s">
        <v>21</v>
      </c>
      <c r="J35" s="8">
        <f>J33</f>
        <v>532240.26399999997</v>
      </c>
      <c r="K35">
        <f>38000</f>
        <v>38000</v>
      </c>
      <c r="L35">
        <f>(J35+K35)/M35</f>
        <v>1.2484866430535295</v>
      </c>
      <c r="M35" s="1">
        <v>456745.18599999999</v>
      </c>
    </row>
    <row r="36" spans="1:20" x14ac:dyDescent="0.25">
      <c r="K36" s="9">
        <f>K35/J35</f>
        <v>7.1396327129433418E-2</v>
      </c>
    </row>
    <row r="37" spans="1:20" x14ac:dyDescent="0.25">
      <c r="J37" s="8">
        <f>J35+K35</f>
        <v>570240.26399999997</v>
      </c>
    </row>
    <row r="40" spans="1:20" x14ac:dyDescent="0.25">
      <c r="B40" t="s">
        <v>31</v>
      </c>
      <c r="C40" t="s">
        <v>32</v>
      </c>
    </row>
    <row r="44" spans="1:20" x14ac:dyDescent="0.25">
      <c r="E44">
        <f>G47/E47</f>
        <v>0.8295296188547151</v>
      </c>
    </row>
    <row r="45" spans="1:20" ht="15.75" x14ac:dyDescent="0.25">
      <c r="A45" s="33"/>
      <c r="B45" s="33" t="s">
        <v>24</v>
      </c>
      <c r="C45" s="33" t="s">
        <v>17</v>
      </c>
      <c r="D45" s="33" t="s">
        <v>18</v>
      </c>
      <c r="E45" s="33" t="s">
        <v>19</v>
      </c>
      <c r="F45" s="33" t="s">
        <v>20</v>
      </c>
      <c r="G45" s="33" t="s">
        <v>21</v>
      </c>
      <c r="J45" t="s">
        <v>24</v>
      </c>
      <c r="K45" t="s">
        <v>17</v>
      </c>
      <c r="L45" t="s">
        <v>18</v>
      </c>
      <c r="M45" t="s">
        <v>19</v>
      </c>
      <c r="N45" t="s">
        <v>20</v>
      </c>
      <c r="O45" t="s">
        <v>21</v>
      </c>
    </row>
    <row r="46" spans="1:20" x14ac:dyDescent="0.25">
      <c r="A46" s="28">
        <v>-0.2</v>
      </c>
      <c r="B46" s="29">
        <f>D62</f>
        <v>772932.15240291203</v>
      </c>
      <c r="C46" s="30">
        <f>C47</f>
        <v>816834.57586005202</v>
      </c>
      <c r="D46" s="31">
        <f>K77</f>
        <v>690905.74926930398</v>
      </c>
      <c r="E46" s="29">
        <f>K83</f>
        <v>592785.562362183</v>
      </c>
      <c r="F46" s="29">
        <f>J86</f>
        <v>609831.81353888195</v>
      </c>
      <c r="G46" s="29">
        <f>J95</f>
        <v>518216.51551811403</v>
      </c>
      <c r="I46" s="6">
        <v>-0.2</v>
      </c>
      <c r="J46">
        <f>Q71</f>
        <v>126686.636979118</v>
      </c>
      <c r="L46">
        <f>Q77</f>
        <v>126191.784800607</v>
      </c>
      <c r="M46">
        <f>Q83</f>
        <v>22955.7711489088</v>
      </c>
      <c r="N46">
        <f>N47+(N47-N48)</f>
        <v>72240.005550759408</v>
      </c>
      <c r="O46">
        <f>S95</f>
        <v>-41638.705955760997</v>
      </c>
    </row>
    <row r="47" spans="1:20" x14ac:dyDescent="0.25">
      <c r="A47" s="29" t="s">
        <v>25</v>
      </c>
      <c r="B47" s="30">
        <f>F13+G13+H13</f>
        <v>760287.85274784686</v>
      </c>
      <c r="C47" s="30">
        <f>F14+G14+H14</f>
        <v>816834.57586005202</v>
      </c>
      <c r="D47" s="30">
        <f>F15+G15+H15</f>
        <v>661948.78022843681</v>
      </c>
      <c r="E47" s="30">
        <f>F16+G16+H16</f>
        <v>539781.52376472298</v>
      </c>
      <c r="F47" s="30">
        <f>F17+G17+H17</f>
        <v>590828.1688081508</v>
      </c>
      <c r="G47" s="30">
        <f>F18+G18+H18</f>
        <v>447764.76167336799</v>
      </c>
      <c r="I47" t="s">
        <v>25</v>
      </c>
      <c r="J47">
        <f>C4</f>
        <v>118388.98836493101</v>
      </c>
      <c r="K47">
        <f>C5</f>
        <v>157208.02938473699</v>
      </c>
      <c r="L47">
        <f>C6</f>
        <v>118426.623204979</v>
      </c>
      <c r="M47">
        <f>C7</f>
        <v>-10611.1954333176</v>
      </c>
      <c r="N47">
        <f>C8</f>
        <v>64316.093561695299</v>
      </c>
      <c r="O47">
        <f>C9</f>
        <v>-76363.171016907305</v>
      </c>
    </row>
    <row r="48" spans="1:20" x14ac:dyDescent="0.25">
      <c r="A48" s="28">
        <v>0.2</v>
      </c>
      <c r="B48" s="30">
        <f>B47-(B46-B47)</f>
        <v>747643.55309278169</v>
      </c>
      <c r="C48" s="30">
        <f>C47</f>
        <v>816834.57586005202</v>
      </c>
      <c r="D48" s="29">
        <f>K74</f>
        <v>636736.63706730295</v>
      </c>
      <c r="E48" s="29">
        <f>K80</f>
        <v>490105.10426576401</v>
      </c>
      <c r="F48" s="29">
        <f>O89</f>
        <v>586038.90403728804</v>
      </c>
      <c r="G48" s="29">
        <f>J92</f>
        <v>425257.50693202502</v>
      </c>
      <c r="I48" s="6">
        <v>0.2</v>
      </c>
      <c r="J48">
        <f>J47-(J46-J47)</f>
        <v>110091.33975074401</v>
      </c>
      <c r="L48">
        <f>Q74</f>
        <v>110661.742834968</v>
      </c>
      <c r="M48">
        <f>Q80</f>
        <v>-44178.380210073497</v>
      </c>
      <c r="N48">
        <f>S89</f>
        <v>56392.181572631198</v>
      </c>
      <c r="O48">
        <f>S92</f>
        <v>-110872.670494103</v>
      </c>
    </row>
    <row r="49" spans="1:8" x14ac:dyDescent="0.25">
      <c r="A49" s="37" t="s">
        <v>33</v>
      </c>
      <c r="B49" s="38">
        <f>B46-B47</f>
        <v>12644.299655065173</v>
      </c>
      <c r="C49" s="38">
        <f>$B$46-C46</f>
        <v>-43902.423457139987</v>
      </c>
      <c r="D49" s="37">
        <f>$B$46-D46</f>
        <v>82026.403133608052</v>
      </c>
      <c r="E49" s="37">
        <f>$B$46-E46</f>
        <v>180146.59004072903</v>
      </c>
      <c r="F49" s="37">
        <f>$B$46-F46</f>
        <v>163100.33886403008</v>
      </c>
      <c r="G49" s="37">
        <f>$B$46-G46</f>
        <v>254715.636884798</v>
      </c>
    </row>
    <row r="50" spans="1:8" x14ac:dyDescent="0.25">
      <c r="A50" s="29" t="s">
        <v>34</v>
      </c>
      <c r="B50" s="31">
        <f t="shared" ref="B50:G50" si="19">$B$47-B47</f>
        <v>0</v>
      </c>
      <c r="C50" s="31">
        <f t="shared" si="19"/>
        <v>-56546.72311220516</v>
      </c>
      <c r="D50" s="31">
        <f t="shared" si="19"/>
        <v>98339.072519410052</v>
      </c>
      <c r="E50" s="31">
        <f t="shared" si="19"/>
        <v>220506.32898312388</v>
      </c>
      <c r="F50" s="31">
        <f t="shared" si="19"/>
        <v>169459.68393969606</v>
      </c>
      <c r="G50" s="31">
        <f t="shared" si="19"/>
        <v>312523.09107447887</v>
      </c>
    </row>
    <row r="51" spans="1:8" x14ac:dyDescent="0.25">
      <c r="A51" s="36" t="s">
        <v>35</v>
      </c>
      <c r="B51" s="31">
        <f>B48-B47</f>
        <v>-12644.299655065173</v>
      </c>
      <c r="C51" s="31">
        <f>$B$48-C48</f>
        <v>-69191.022767270333</v>
      </c>
      <c r="D51" s="31">
        <f>$B$48-D48</f>
        <v>110906.91602547874</v>
      </c>
      <c r="E51" s="31">
        <f>$B$48-E48</f>
        <v>257538.44882701768</v>
      </c>
      <c r="F51" s="31">
        <f>$B$48-F48</f>
        <v>161604.64905549365</v>
      </c>
      <c r="G51" s="31">
        <f>$B$48-G48</f>
        <v>322386.04616075667</v>
      </c>
    </row>
    <row r="52" spans="1:8" x14ac:dyDescent="0.25">
      <c r="A52" t="s">
        <v>36</v>
      </c>
      <c r="B52" s="22">
        <f t="shared" ref="B52:D52" si="20">(B47-B46)/B47 *100</f>
        <v>-1.6630937360587712</v>
      </c>
      <c r="C52" s="22">
        <f t="shared" si="20"/>
        <v>0</v>
      </c>
      <c r="D52" s="22">
        <f t="shared" si="20"/>
        <v>-4.3745029684735117</v>
      </c>
      <c r="E52" s="22">
        <f>(E47-E46)/E47 *100</f>
        <v>-9.8195355461190506</v>
      </c>
      <c r="F52" s="22">
        <f t="shared" ref="F52:G52" si="21">(F47-F46)/F47 *100</f>
        <v>-3.2164418919067934</v>
      </c>
      <c r="G52" s="22">
        <f t="shared" si="21"/>
        <v>-15.734099660155627</v>
      </c>
    </row>
    <row r="53" spans="1:8" x14ac:dyDescent="0.25">
      <c r="A53" t="s">
        <v>36</v>
      </c>
      <c r="B53" s="22"/>
      <c r="C53" s="5">
        <f>C50-C50</f>
        <v>0</v>
      </c>
      <c r="D53" s="5">
        <f>D50-D50</f>
        <v>0</v>
      </c>
      <c r="E53" s="5">
        <f>E50-E50</f>
        <v>0</v>
      </c>
      <c r="F53" s="5">
        <f>F50-F50</f>
        <v>0</v>
      </c>
      <c r="G53" s="5">
        <f>G50-G50</f>
        <v>0</v>
      </c>
    </row>
    <row r="54" spans="1:8" x14ac:dyDescent="0.25">
      <c r="A54" t="s">
        <v>36</v>
      </c>
      <c r="B54" s="22">
        <f t="shared" ref="B54:G54" si="22">(B48-B47)/B47 *100</f>
        <v>-1.6630937360587712</v>
      </c>
      <c r="C54" s="22">
        <f t="shared" si="22"/>
        <v>0</v>
      </c>
      <c r="D54" s="22">
        <f t="shared" si="22"/>
        <v>-3.8087755297975194</v>
      </c>
      <c r="E54" s="22">
        <f>(E48-E47)/E47 *100</f>
        <v>-9.2030603701455433</v>
      </c>
      <c r="F54" s="22">
        <f t="shared" si="22"/>
        <v>-0.8106019691857137</v>
      </c>
      <c r="G54" s="22">
        <f t="shared" si="22"/>
        <v>-5.0265801750968047</v>
      </c>
    </row>
    <row r="55" spans="1:8" x14ac:dyDescent="0.25">
      <c r="A55" t="s">
        <v>37</v>
      </c>
      <c r="B55" s="22">
        <f>B46-B47</f>
        <v>12644.299655065173</v>
      </c>
      <c r="C55" s="22">
        <f>C46-C47</f>
        <v>0</v>
      </c>
      <c r="D55" s="22">
        <f>D47-D46</f>
        <v>-28956.969040867174</v>
      </c>
      <c r="E55" s="22">
        <f>E47-E46</f>
        <v>-53004.038597460021</v>
      </c>
      <c r="F55" s="22">
        <f>F47-F46</f>
        <v>-19003.644730731146</v>
      </c>
      <c r="G55" s="22">
        <f>G47-G46</f>
        <v>-70451.753844746039</v>
      </c>
      <c r="H55" s="22"/>
    </row>
    <row r="56" spans="1:8" x14ac:dyDescent="0.25">
      <c r="A56" t="s">
        <v>37</v>
      </c>
      <c r="B56" s="22"/>
      <c r="C56" s="22"/>
      <c r="D56" s="22"/>
      <c r="E56" s="22"/>
      <c r="F56" s="22"/>
      <c r="G56" s="22"/>
    </row>
    <row r="57" spans="1:8" x14ac:dyDescent="0.25">
      <c r="A57" t="s">
        <v>37</v>
      </c>
      <c r="B57" s="22">
        <f t="shared" ref="B57:G57" si="23">B47-B48</f>
        <v>12644.299655065173</v>
      </c>
      <c r="C57" s="22">
        <f t="shared" si="23"/>
        <v>0</v>
      </c>
      <c r="D57" s="22">
        <f t="shared" si="23"/>
        <v>25212.143161133863</v>
      </c>
      <c r="E57" s="22">
        <f t="shared" si="23"/>
        <v>49676.419498958974</v>
      </c>
      <c r="F57" s="22">
        <f t="shared" si="23"/>
        <v>4789.2647708627628</v>
      </c>
      <c r="G57" s="22">
        <f t="shared" si="23"/>
        <v>22507.254741342971</v>
      </c>
    </row>
    <row r="58" spans="1:8" x14ac:dyDescent="0.25">
      <c r="B58" s="22">
        <f>B47-D47</f>
        <v>98339.072519410052</v>
      </c>
      <c r="C58" s="22"/>
      <c r="D58" s="22"/>
      <c r="E58" s="22">
        <f>B47-E47</f>
        <v>220506.32898312388</v>
      </c>
      <c r="F58" s="22"/>
      <c r="G58" s="22"/>
    </row>
    <row r="59" spans="1:8" x14ac:dyDescent="0.25">
      <c r="B59" s="22">
        <f>D47/B47</f>
        <v>0.87065547323426107</v>
      </c>
      <c r="C59" s="22"/>
      <c r="D59" s="22"/>
      <c r="E59">
        <f>E47/B47</f>
        <v>0.70996994337583363</v>
      </c>
      <c r="F59" s="22"/>
      <c r="G59" s="22"/>
    </row>
    <row r="60" spans="1:8" x14ac:dyDescent="0.25">
      <c r="B60" s="5"/>
    </row>
    <row r="61" spans="1:8" x14ac:dyDescent="0.25">
      <c r="A61" t="s">
        <v>38</v>
      </c>
      <c r="B61" t="s">
        <v>39</v>
      </c>
      <c r="C61" t="s">
        <v>40</v>
      </c>
      <c r="D61" t="s">
        <v>41</v>
      </c>
      <c r="G61" t="s">
        <v>42</v>
      </c>
    </row>
    <row r="62" spans="1:8" x14ac:dyDescent="0.25">
      <c r="A62">
        <v>8759.0040000000008</v>
      </c>
      <c r="B62">
        <v>730574.27274537995</v>
      </c>
      <c r="C62">
        <v>42357.879657532103</v>
      </c>
      <c r="D62">
        <v>772932.15240291203</v>
      </c>
      <c r="F62">
        <v>8759.0040000000008</v>
      </c>
      <c r="G62">
        <v>126152.79602263799</v>
      </c>
    </row>
    <row r="63" spans="1:8" x14ac:dyDescent="0.25">
      <c r="B63" s="5">
        <f>B46-D46</f>
        <v>82026.403133608052</v>
      </c>
      <c r="C63" s="7">
        <f>B63-B64</f>
        <v>-16312.669385802001</v>
      </c>
    </row>
    <row r="64" spans="1:8" x14ac:dyDescent="0.25">
      <c r="B64" s="5">
        <f>B47-D47</f>
        <v>98339.072519410052</v>
      </c>
      <c r="C64" s="7">
        <f>B64-B65</f>
        <v>-12567.84350606869</v>
      </c>
    </row>
    <row r="65" spans="1:17" x14ac:dyDescent="0.25">
      <c r="B65" s="5">
        <f>B48-D48</f>
        <v>110906.91602547874</v>
      </c>
    </row>
    <row r="66" spans="1:17" x14ac:dyDescent="0.25">
      <c r="A66" t="s">
        <v>43</v>
      </c>
      <c r="B66" s="5"/>
    </row>
    <row r="67" spans="1:17" x14ac:dyDescent="0.25">
      <c r="B67" s="5"/>
    </row>
    <row r="68" spans="1:17" x14ac:dyDescent="0.25">
      <c r="B68" s="5"/>
      <c r="C68" s="5">
        <f>E47*(E52+1)</f>
        <v>-4760622.3359812796</v>
      </c>
    </row>
    <row r="69" spans="1:17" x14ac:dyDescent="0.25">
      <c r="A69" t="s">
        <v>44</v>
      </c>
      <c r="B69" s="5"/>
    </row>
    <row r="71" spans="1:17" x14ac:dyDescent="0.25">
      <c r="P71">
        <v>8859.0059999999994</v>
      </c>
      <c r="Q71">
        <v>126686.636979118</v>
      </c>
    </row>
    <row r="72" spans="1:17" x14ac:dyDescent="0.25">
      <c r="A72" t="s">
        <v>45</v>
      </c>
      <c r="B72" s="5"/>
    </row>
    <row r="73" spans="1:17" x14ac:dyDescent="0.25">
      <c r="B73" t="s">
        <v>46</v>
      </c>
      <c r="C73" t="s">
        <v>47</v>
      </c>
      <c r="D73" t="s">
        <v>48</v>
      </c>
      <c r="E73" t="s">
        <v>49</v>
      </c>
      <c r="F73" t="s">
        <v>50</v>
      </c>
      <c r="I73" t="s">
        <v>51</v>
      </c>
      <c r="J73" t="s">
        <v>40</v>
      </c>
      <c r="K73" t="s">
        <v>41</v>
      </c>
      <c r="N73" t="s">
        <v>52</v>
      </c>
      <c r="Q73" t="s">
        <v>42</v>
      </c>
    </row>
    <row r="74" spans="1:17" x14ac:dyDescent="0.25">
      <c r="A74">
        <v>8759.0059999999994</v>
      </c>
      <c r="B74">
        <v>147695.97301973801</v>
      </c>
      <c r="C74">
        <v>307384.01287025999</v>
      </c>
      <c r="D74">
        <v>455079.98588999797</v>
      </c>
      <c r="E74">
        <v>307496.46767270798</v>
      </c>
      <c r="F74">
        <v>19.1552087239257</v>
      </c>
      <c r="H74">
        <v>8759.0059999999994</v>
      </c>
      <c r="I74">
        <v>594378.75713579799</v>
      </c>
      <c r="J74">
        <v>42357.879931504802</v>
      </c>
      <c r="K74">
        <v>636736.63706730295</v>
      </c>
      <c r="M74">
        <v>8759.0059999999994</v>
      </c>
      <c r="N74">
        <v>82408.203124968102</v>
      </c>
      <c r="P74">
        <v>8759.0059999999994</v>
      </c>
      <c r="Q74">
        <v>110661.742834968</v>
      </c>
    </row>
    <row r="75" spans="1:17" x14ac:dyDescent="0.25">
      <c r="A75" t="s">
        <v>53</v>
      </c>
      <c r="B75" s="5"/>
    </row>
    <row r="76" spans="1:17" x14ac:dyDescent="0.25">
      <c r="B76" t="s">
        <v>46</v>
      </c>
      <c r="C76" t="s">
        <v>47</v>
      </c>
      <c r="D76" t="s">
        <v>48</v>
      </c>
      <c r="E76" t="s">
        <v>49</v>
      </c>
      <c r="F76" t="s">
        <v>50</v>
      </c>
      <c r="I76" t="s">
        <v>51</v>
      </c>
      <c r="J76" t="s">
        <v>40</v>
      </c>
      <c r="K76" t="s">
        <v>41</v>
      </c>
      <c r="N76" t="s">
        <v>52</v>
      </c>
      <c r="Q76" t="s">
        <v>42</v>
      </c>
    </row>
    <row r="77" spans="1:17" x14ac:dyDescent="0.25">
      <c r="A77">
        <v>8759.0059999999994</v>
      </c>
      <c r="B77">
        <v>98463.981679825694</v>
      </c>
      <c r="C77">
        <v>356616.00421017298</v>
      </c>
      <c r="D77">
        <v>455079.98588999797</v>
      </c>
      <c r="E77">
        <v>356734.44273686898</v>
      </c>
      <c r="F77">
        <v>55403.9516732509</v>
      </c>
      <c r="H77">
        <v>8759.0059999999994</v>
      </c>
      <c r="I77">
        <v>648547.86933779996</v>
      </c>
      <c r="J77">
        <v>42357.879931504802</v>
      </c>
      <c r="K77">
        <v>690905.74926930398</v>
      </c>
      <c r="M77">
        <v>8759.0059999999994</v>
      </c>
      <c r="N77">
        <v>54679.593435261602</v>
      </c>
      <c r="P77">
        <v>8759.0059999999994</v>
      </c>
      <c r="Q77">
        <v>126191.784800607</v>
      </c>
    </row>
    <row r="78" spans="1:17" x14ac:dyDescent="0.25">
      <c r="A78" t="s">
        <v>54</v>
      </c>
    </row>
    <row r="79" spans="1:17" x14ac:dyDescent="0.25">
      <c r="B79" t="s">
        <v>46</v>
      </c>
      <c r="C79" t="s">
        <v>47</v>
      </c>
      <c r="D79" t="s">
        <v>48</v>
      </c>
      <c r="E79" t="s">
        <v>49</v>
      </c>
      <c r="F79" t="s">
        <v>50</v>
      </c>
      <c r="I79" t="s">
        <v>51</v>
      </c>
      <c r="J79" t="s">
        <v>40</v>
      </c>
      <c r="K79" t="s">
        <v>41</v>
      </c>
      <c r="N79" t="s">
        <v>52</v>
      </c>
      <c r="Q79" t="s">
        <v>42</v>
      </c>
    </row>
    <row r="80" spans="1:17" x14ac:dyDescent="0.25">
      <c r="A80">
        <v>8759.0059999999994</v>
      </c>
      <c r="B80">
        <v>638567.88411475101</v>
      </c>
      <c r="C80">
        <v>-183487.89822475001</v>
      </c>
      <c r="D80">
        <v>455079.98588999797</v>
      </c>
      <c r="E80">
        <v>-183435.97778891699</v>
      </c>
      <c r="F80">
        <v>-0.251975430812166</v>
      </c>
      <c r="H80">
        <v>8759.0059999999994</v>
      </c>
      <c r="I80">
        <v>306969.56473837799</v>
      </c>
      <c r="J80">
        <v>183135.53952738599</v>
      </c>
      <c r="K80">
        <v>490105.10426576401</v>
      </c>
      <c r="M80">
        <v>8759.0059999999994</v>
      </c>
      <c r="N80">
        <v>183496.52216813</v>
      </c>
      <c r="P80">
        <v>8759.0059999999994</v>
      </c>
      <c r="Q80">
        <v>-44178.380210073497</v>
      </c>
    </row>
    <row r="81" spans="1:19" x14ac:dyDescent="0.25">
      <c r="A81" t="s">
        <v>55</v>
      </c>
    </row>
    <row r="82" spans="1:19" x14ac:dyDescent="0.25">
      <c r="B82" t="s">
        <v>46</v>
      </c>
      <c r="C82" t="s">
        <v>47</v>
      </c>
      <c r="D82" t="s">
        <v>48</v>
      </c>
      <c r="E82" t="s">
        <v>49</v>
      </c>
      <c r="F82" t="s">
        <v>50</v>
      </c>
      <c r="I82" t="s">
        <v>51</v>
      </c>
      <c r="J82" t="s">
        <v>40</v>
      </c>
      <c r="K82" t="s">
        <v>41</v>
      </c>
      <c r="N82" t="s">
        <v>52</v>
      </c>
      <c r="Q82" t="s">
        <v>42</v>
      </c>
    </row>
    <row r="83" spans="1:19" x14ac:dyDescent="0.25">
      <c r="A83">
        <v>8759.0059999999994</v>
      </c>
      <c r="B83">
        <v>425711.92240983399</v>
      </c>
      <c r="C83">
        <v>29368.063480166002</v>
      </c>
      <c r="D83">
        <v>455079.98588999797</v>
      </c>
      <c r="E83">
        <v>29420.095585381699</v>
      </c>
      <c r="F83">
        <v>-7.9973719347492395E-2</v>
      </c>
      <c r="H83">
        <v>8759.0059999999994</v>
      </c>
      <c r="I83">
        <v>409650.021834796</v>
      </c>
      <c r="J83">
        <v>183135.53952738599</v>
      </c>
      <c r="K83">
        <v>592785.562362183</v>
      </c>
      <c r="M83">
        <v>8759.0059999999994</v>
      </c>
      <c r="N83">
        <v>113238.98737856701</v>
      </c>
      <c r="P83">
        <v>8759.0059999999994</v>
      </c>
      <c r="Q83">
        <v>22955.7711489088</v>
      </c>
    </row>
    <row r="84" spans="1:19" x14ac:dyDescent="0.25">
      <c r="A84" t="s">
        <v>56</v>
      </c>
    </row>
    <row r="85" spans="1:19" x14ac:dyDescent="0.25">
      <c r="B85" t="s">
        <v>57</v>
      </c>
      <c r="C85" t="s">
        <v>58</v>
      </c>
      <c r="D85" t="s">
        <v>59</v>
      </c>
      <c r="E85" t="s">
        <v>60</v>
      </c>
      <c r="H85" t="s">
        <v>39</v>
      </c>
      <c r="I85" t="s">
        <v>40</v>
      </c>
      <c r="J85" t="s">
        <v>41</v>
      </c>
      <c r="K85" t="s">
        <v>61</v>
      </c>
      <c r="N85" t="s">
        <v>62</v>
      </c>
      <c r="O85" t="s">
        <v>63</v>
      </c>
      <c r="P85" t="s">
        <v>64</v>
      </c>
    </row>
    <row r="86" spans="1:19" x14ac:dyDescent="0.25">
      <c r="A86">
        <v>8759.0059999999994</v>
      </c>
      <c r="B86">
        <v>0</v>
      </c>
      <c r="C86">
        <v>0.552499999999987</v>
      </c>
      <c r="D86">
        <v>59.779999999999902</v>
      </c>
      <c r="E86">
        <v>59.200499999999998</v>
      </c>
      <c r="G86">
        <v>8759.0059999999994</v>
      </c>
      <c r="H86">
        <v>424801.433299153</v>
      </c>
      <c r="I86">
        <v>42357.879931504802</v>
      </c>
      <c r="J86">
        <v>609831.81353888195</v>
      </c>
      <c r="K86">
        <v>142672.50030822301</v>
      </c>
      <c r="M86">
        <v>8759.0059999999994</v>
      </c>
      <c r="N86">
        <v>6648.6361595702701</v>
      </c>
      <c r="O86">
        <v>26281.0184827825</v>
      </c>
      <c r="P86">
        <v>39421.5277241738</v>
      </c>
    </row>
    <row r="87" spans="1:19" x14ac:dyDescent="0.25">
      <c r="A87" t="s">
        <v>65</v>
      </c>
    </row>
    <row r="88" spans="1:19" x14ac:dyDescent="0.25">
      <c r="B88" t="s">
        <v>57</v>
      </c>
      <c r="C88" t="s">
        <v>58</v>
      </c>
      <c r="D88" t="s">
        <v>59</v>
      </c>
      <c r="E88" t="s">
        <v>60</v>
      </c>
      <c r="H88" t="s">
        <v>62</v>
      </c>
      <c r="I88" t="s">
        <v>63</v>
      </c>
      <c r="J88" t="s">
        <v>64</v>
      </c>
      <c r="M88" t="s">
        <v>39</v>
      </c>
      <c r="N88" t="s">
        <v>40</v>
      </c>
      <c r="O88" t="s">
        <v>41</v>
      </c>
      <c r="P88" t="s">
        <v>61</v>
      </c>
      <c r="S88" t="s">
        <v>42</v>
      </c>
    </row>
    <row r="89" spans="1:19" x14ac:dyDescent="0.25">
      <c r="A89">
        <v>8759.0059999999994</v>
      </c>
      <c r="B89">
        <v>0</v>
      </c>
      <c r="C89">
        <v>0.552499999999987</v>
      </c>
      <c r="D89">
        <v>59.779999999999902</v>
      </c>
      <c r="E89">
        <v>59.200499999999998</v>
      </c>
      <c r="G89">
        <v>8759.0059999999994</v>
      </c>
      <c r="H89">
        <v>6859.7329324311204</v>
      </c>
      <c r="I89">
        <v>43256.398760798002</v>
      </c>
      <c r="J89">
        <v>64884.598141197101</v>
      </c>
      <c r="L89">
        <v>8759.0059999999994</v>
      </c>
      <c r="M89">
        <v>401008.52379755903</v>
      </c>
      <c r="N89">
        <v>42357.879931504802</v>
      </c>
      <c r="O89">
        <v>586038.90403728804</v>
      </c>
      <c r="P89">
        <v>142672.50030822301</v>
      </c>
      <c r="R89">
        <v>8759.0059999999994</v>
      </c>
      <c r="S89">
        <v>56392.181572631198</v>
      </c>
    </row>
    <row r="90" spans="1:19" x14ac:dyDescent="0.25">
      <c r="A90" t="s">
        <v>66</v>
      </c>
    </row>
    <row r="91" spans="1:19" x14ac:dyDescent="0.25">
      <c r="B91" t="s">
        <v>57</v>
      </c>
      <c r="C91" t="s">
        <v>58</v>
      </c>
      <c r="D91" t="s">
        <v>59</v>
      </c>
      <c r="E91" t="s">
        <v>60</v>
      </c>
      <c r="H91" t="s">
        <v>39</v>
      </c>
      <c r="I91" t="s">
        <v>40</v>
      </c>
      <c r="J91" t="s">
        <v>41</v>
      </c>
      <c r="K91" t="s">
        <v>61</v>
      </c>
      <c r="N91" t="s">
        <v>62</v>
      </c>
      <c r="O91" t="s">
        <v>63</v>
      </c>
      <c r="P91" t="s">
        <v>64</v>
      </c>
      <c r="S91" t="s">
        <v>42</v>
      </c>
    </row>
    <row r="92" spans="1:19" x14ac:dyDescent="0.25">
      <c r="A92">
        <v>8759.0059999999994</v>
      </c>
      <c r="B92">
        <v>0</v>
      </c>
      <c r="C92">
        <v>0.552499999999987</v>
      </c>
      <c r="D92">
        <v>59.779999999999902</v>
      </c>
      <c r="E92">
        <v>59.200499999999998</v>
      </c>
      <c r="G92">
        <v>8759.0059999999994</v>
      </c>
      <c r="H92">
        <v>99449.467096415203</v>
      </c>
      <c r="I92">
        <v>183135.53952738599</v>
      </c>
      <c r="J92">
        <v>425257.50693202502</v>
      </c>
      <c r="K92">
        <v>142672.50030822301</v>
      </c>
      <c r="M92">
        <v>8759.0059999999994</v>
      </c>
      <c r="N92">
        <v>24379.6027459135</v>
      </c>
      <c r="O92">
        <v>192550.434520949</v>
      </c>
      <c r="P92">
        <v>288825.65178142302</v>
      </c>
      <c r="R92">
        <v>8759.0059999999994</v>
      </c>
      <c r="S92">
        <v>-110872.670494103</v>
      </c>
    </row>
    <row r="93" spans="1:19" x14ac:dyDescent="0.25">
      <c r="A93" t="s">
        <v>67</v>
      </c>
    </row>
    <row r="94" spans="1:19" x14ac:dyDescent="0.25">
      <c r="B94" t="s">
        <v>57</v>
      </c>
      <c r="C94" t="s">
        <v>58</v>
      </c>
      <c r="D94" t="s">
        <v>59</v>
      </c>
      <c r="E94" t="s">
        <v>60</v>
      </c>
      <c r="H94" t="s">
        <v>39</v>
      </c>
      <c r="I94" t="s">
        <v>40</v>
      </c>
      <c r="J94" t="s">
        <v>41</v>
      </c>
      <c r="K94" t="s">
        <v>61</v>
      </c>
      <c r="N94" t="s">
        <v>62</v>
      </c>
      <c r="O94" t="s">
        <v>63</v>
      </c>
      <c r="P94" t="s">
        <v>64</v>
      </c>
      <c r="S94" t="s">
        <v>42</v>
      </c>
    </row>
    <row r="95" spans="1:19" x14ac:dyDescent="0.25">
      <c r="A95">
        <v>8759.0059999999994</v>
      </c>
      <c r="B95">
        <v>0</v>
      </c>
      <c r="C95">
        <v>0.552499999999987</v>
      </c>
      <c r="D95">
        <v>59.779999999999902</v>
      </c>
      <c r="E95">
        <v>59.200499999999998</v>
      </c>
      <c r="G95">
        <v>8759.0059999999994</v>
      </c>
      <c r="H95">
        <v>192408.47568250401</v>
      </c>
      <c r="I95">
        <v>183135.53952738599</v>
      </c>
      <c r="J95">
        <v>518216.51551811403</v>
      </c>
      <c r="K95">
        <v>142672.50030822301</v>
      </c>
      <c r="M95">
        <v>8759.0059999999994</v>
      </c>
      <c r="N95">
        <v>21219.090197944301</v>
      </c>
      <c r="O95">
        <v>118477.402669303</v>
      </c>
      <c r="P95">
        <v>177716.104003955</v>
      </c>
      <c r="R95">
        <v>8759.0059999999994</v>
      </c>
      <c r="S95">
        <v>-41638.705955760997</v>
      </c>
    </row>
    <row r="101" spans="1:4" x14ac:dyDescent="0.25">
      <c r="B101" t="s">
        <v>302</v>
      </c>
      <c r="C101" t="s">
        <v>25</v>
      </c>
      <c r="D101" t="s">
        <v>303</v>
      </c>
    </row>
    <row r="102" spans="1:4" x14ac:dyDescent="0.25">
      <c r="A102" t="s">
        <v>25</v>
      </c>
      <c r="B102">
        <v>-0.48</v>
      </c>
      <c r="C102">
        <v>7.7</v>
      </c>
      <c r="D102">
        <v>0.35</v>
      </c>
    </row>
    <row r="103" spans="1:4" x14ac:dyDescent="0.25">
      <c r="A103" t="s">
        <v>17</v>
      </c>
      <c r="B103">
        <v>0</v>
      </c>
      <c r="C103">
        <v>0</v>
      </c>
      <c r="D103">
        <v>0</v>
      </c>
    </row>
    <row r="104" spans="1:4" x14ac:dyDescent="0.25">
      <c r="A104" t="s">
        <v>18</v>
      </c>
      <c r="B104">
        <v>-2.85</v>
      </c>
      <c r="C104">
        <v>22.9</v>
      </c>
      <c r="D104">
        <v>2.23</v>
      </c>
    </row>
    <row r="105" spans="1:4" x14ac:dyDescent="0.25">
      <c r="A105" t="s">
        <v>19</v>
      </c>
      <c r="B105">
        <v>-1.8</v>
      </c>
      <c r="C105">
        <v>37.799999999999997</v>
      </c>
      <c r="D105">
        <v>1.35</v>
      </c>
    </row>
    <row r="106" spans="1:4" x14ac:dyDescent="0.25">
      <c r="A106" t="s">
        <v>20</v>
      </c>
      <c r="B106">
        <v>-1.45</v>
      </c>
      <c r="C106">
        <v>63.5</v>
      </c>
      <c r="D106">
        <v>1.1299999999999999</v>
      </c>
    </row>
    <row r="107" spans="1:4" x14ac:dyDescent="0.25">
      <c r="A107" t="s">
        <v>21</v>
      </c>
      <c r="B107">
        <v>-0.86</v>
      </c>
      <c r="C107">
        <v>70.8</v>
      </c>
      <c r="D107">
        <v>0.65</v>
      </c>
    </row>
    <row r="109" spans="1:4" x14ac:dyDescent="0.25">
      <c r="A109" s="34"/>
      <c r="B109" s="35" t="s">
        <v>302</v>
      </c>
      <c r="C109" s="35" t="s">
        <v>25</v>
      </c>
      <c r="D109" s="35" t="s">
        <v>303</v>
      </c>
    </row>
    <row r="110" spans="1:4" x14ac:dyDescent="0.25">
      <c r="A110" s="29" t="s">
        <v>25</v>
      </c>
      <c r="B110" s="29">
        <f>C102+B102</f>
        <v>7.2200000000000006</v>
      </c>
      <c r="C110" s="29">
        <f>C102</f>
        <v>7.7</v>
      </c>
      <c r="D110" s="29">
        <f>C102+D102</f>
        <v>8.0500000000000007</v>
      </c>
    </row>
    <row r="111" spans="1:4" x14ac:dyDescent="0.25">
      <c r="A111" s="29" t="s">
        <v>17</v>
      </c>
      <c r="B111" s="29">
        <f t="shared" ref="B111:B115" si="24">C103+B103</f>
        <v>0</v>
      </c>
      <c r="C111" s="29">
        <f t="shared" ref="C111:C115" si="25">C103</f>
        <v>0</v>
      </c>
      <c r="D111" s="29">
        <f t="shared" ref="D111:D115" si="26">C103+D103</f>
        <v>0</v>
      </c>
    </row>
    <row r="112" spans="1:4" x14ac:dyDescent="0.25">
      <c r="A112" s="29" t="s">
        <v>18</v>
      </c>
      <c r="B112" s="29">
        <f t="shared" si="24"/>
        <v>20.049999999999997</v>
      </c>
      <c r="C112" s="29">
        <f t="shared" si="25"/>
        <v>22.9</v>
      </c>
      <c r="D112" s="29">
        <f t="shared" si="26"/>
        <v>25.13</v>
      </c>
    </row>
    <row r="113" spans="1:8" x14ac:dyDescent="0.25">
      <c r="A113" s="29" t="s">
        <v>19</v>
      </c>
      <c r="B113" s="29">
        <f t="shared" si="24"/>
        <v>36</v>
      </c>
      <c r="C113" s="29">
        <f t="shared" si="25"/>
        <v>37.799999999999997</v>
      </c>
      <c r="D113" s="29">
        <f t="shared" si="26"/>
        <v>39.15</v>
      </c>
    </row>
    <row r="114" spans="1:8" x14ac:dyDescent="0.25">
      <c r="A114" s="29" t="s">
        <v>20</v>
      </c>
      <c r="B114" s="29">
        <f t="shared" si="24"/>
        <v>62.05</v>
      </c>
      <c r="C114" s="29">
        <f t="shared" si="25"/>
        <v>63.5</v>
      </c>
      <c r="D114" s="29">
        <f t="shared" si="26"/>
        <v>64.63</v>
      </c>
    </row>
    <row r="115" spans="1:8" x14ac:dyDescent="0.25">
      <c r="A115" s="29" t="s">
        <v>21</v>
      </c>
      <c r="B115" s="29">
        <f t="shared" si="24"/>
        <v>69.94</v>
      </c>
      <c r="C115" s="29">
        <f t="shared" si="25"/>
        <v>70.8</v>
      </c>
      <c r="D115" s="29">
        <f t="shared" si="26"/>
        <v>71.45</v>
      </c>
      <c r="G115">
        <f>1.67 * 2/3</f>
        <v>1.1133333333333333</v>
      </c>
    </row>
    <row r="116" spans="1:8" x14ac:dyDescent="0.25">
      <c r="G116">
        <f>4.25 *2/2</f>
        <v>4.25</v>
      </c>
      <c r="H116">
        <f>G116/G115</f>
        <v>3.817365269461078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9EFB-BA93-4275-B639-167190486D20}">
  <dimension ref="A1:U35"/>
  <sheetViews>
    <sheetView zoomScale="47" workbookViewId="0">
      <selection activeCell="I37" sqref="I37"/>
    </sheetView>
  </sheetViews>
  <sheetFormatPr defaultRowHeight="15" x14ac:dyDescent="0.25"/>
  <cols>
    <col min="1" max="1" width="9.85546875" bestFit="1" customWidth="1"/>
    <col min="2" max="2" width="11.42578125" customWidth="1"/>
    <col min="3" max="3" width="10.140625" customWidth="1"/>
    <col min="4" max="4" width="13.5703125" customWidth="1"/>
    <col min="5" max="5" width="19.42578125" customWidth="1"/>
    <col min="6" max="6" width="18.42578125" customWidth="1"/>
    <col min="7" max="7" width="17" customWidth="1"/>
    <col min="10" max="10" width="10.42578125" customWidth="1"/>
    <col min="11" max="11" width="11.42578125" customWidth="1"/>
    <col min="12" max="12" width="11.140625" customWidth="1"/>
  </cols>
  <sheetData>
    <row r="1" spans="1:21" x14ac:dyDescent="0.25">
      <c r="C1" s="26" t="s">
        <v>292</v>
      </c>
      <c r="D1" s="26" t="s">
        <v>292</v>
      </c>
      <c r="E1" s="26" t="s">
        <v>292</v>
      </c>
      <c r="F1" s="26"/>
      <c r="G1" s="26"/>
      <c r="H1" s="26" t="s">
        <v>292</v>
      </c>
      <c r="I1" s="26"/>
      <c r="J1" s="26"/>
      <c r="K1" s="26"/>
      <c r="L1" s="26"/>
    </row>
    <row r="2" spans="1:21" x14ac:dyDescent="0.25">
      <c r="C2" t="s">
        <v>284</v>
      </c>
      <c r="D2" t="s">
        <v>285</v>
      </c>
      <c r="E2" t="s">
        <v>286</v>
      </c>
      <c r="F2" t="s">
        <v>282</v>
      </c>
      <c r="G2" t="s">
        <v>283</v>
      </c>
      <c r="H2" t="s">
        <v>1</v>
      </c>
      <c r="I2" t="s">
        <v>287</v>
      </c>
      <c r="J2" t="s">
        <v>288</v>
      </c>
      <c r="K2" t="s">
        <v>289</v>
      </c>
      <c r="L2" t="s">
        <v>290</v>
      </c>
      <c r="P2" t="s">
        <v>25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</row>
    <row r="3" spans="1:21" x14ac:dyDescent="0.25">
      <c r="B3" t="s">
        <v>16</v>
      </c>
      <c r="C3">
        <f>'Basecase updated1'!O102</f>
        <v>717929.97281634202</v>
      </c>
      <c r="D3">
        <f>'Basecase updated1'!P102</f>
        <v>42357.879931504802</v>
      </c>
      <c r="H3">
        <f>'Basecase updated1'!W102</f>
        <v>118388.98836493101</v>
      </c>
      <c r="O3" t="s">
        <v>293</v>
      </c>
      <c r="Q3">
        <v>0</v>
      </c>
      <c r="R3">
        <f>C13</f>
        <v>56009.818339650694</v>
      </c>
      <c r="S3">
        <f>D13</f>
        <v>450541.96891118737</v>
      </c>
    </row>
    <row r="4" spans="1:21" x14ac:dyDescent="0.25">
      <c r="B4" t="s">
        <v>17</v>
      </c>
      <c r="C4">
        <f>'Scenario 1 Updated'!Q103</f>
        <v>816834.57586005202</v>
      </c>
      <c r="H4">
        <f>'Scenario 1 Updated'!V103</f>
        <v>157208.02938473699</v>
      </c>
      <c r="O4" t="s">
        <v>294</v>
      </c>
      <c r="Q4">
        <v>0</v>
      </c>
      <c r="R4">
        <f t="shared" ref="R4:S5" si="0">C14</f>
        <v>66955.007570000307</v>
      </c>
      <c r="S4">
        <f t="shared" si="0"/>
        <v>4538.0169788106105</v>
      </c>
    </row>
    <row r="5" spans="1:21" x14ac:dyDescent="0.25">
      <c r="B5" t="s">
        <v>18</v>
      </c>
      <c r="C5" s="25">
        <v>619590.90029693197</v>
      </c>
      <c r="D5" s="25">
        <v>42357.879931504802</v>
      </c>
      <c r="F5">
        <f>'Scenario 2 Updated'!D103</f>
        <v>123079.97784978199</v>
      </c>
      <c r="H5">
        <v>118426.623204979</v>
      </c>
      <c r="J5" s="25">
        <v>66955.007570000307</v>
      </c>
      <c r="K5" s="25">
        <v>332115.15998034697</v>
      </c>
      <c r="L5" s="25">
        <v>455079.98588999797</v>
      </c>
      <c r="O5" s="1" t="s">
        <v>295</v>
      </c>
      <c r="Q5">
        <f>L6</f>
        <v>455079.98588999797</v>
      </c>
      <c r="R5">
        <f t="shared" si="0"/>
        <v>332115.15998034697</v>
      </c>
      <c r="S5">
        <f t="shared" si="0"/>
        <v>-77007.710611347706</v>
      </c>
    </row>
    <row r="6" spans="1:21" x14ac:dyDescent="0.25">
      <c r="B6" t="s">
        <v>19</v>
      </c>
      <c r="C6">
        <v>356645.98423733702</v>
      </c>
      <c r="D6">
        <v>183135.53952738599</v>
      </c>
      <c r="F6">
        <v>532139.90376229305</v>
      </c>
      <c r="H6">
        <v>-10611.1954333176</v>
      </c>
      <c r="I6">
        <v>-77059.917872291699</v>
      </c>
      <c r="J6">
        <v>4538.0169788106105</v>
      </c>
      <c r="K6">
        <v>-77007.710611347706</v>
      </c>
      <c r="L6">
        <v>455079.98588999797</v>
      </c>
    </row>
    <row r="7" spans="1:21" x14ac:dyDescent="0.25">
      <c r="A7" s="1"/>
      <c r="B7" t="s">
        <v>20</v>
      </c>
      <c r="C7">
        <v>412566.659568423</v>
      </c>
      <c r="D7">
        <v>42357.879931504802</v>
      </c>
      <c r="E7">
        <v>142672.50030822301</v>
      </c>
      <c r="G7" s="1">
        <v>230112.91800000001</v>
      </c>
      <c r="H7">
        <v>64316.093561695299</v>
      </c>
      <c r="P7" t="s">
        <v>68</v>
      </c>
    </row>
    <row r="8" spans="1:21" x14ac:dyDescent="0.25">
      <c r="A8" s="1"/>
      <c r="B8" t="s">
        <v>21</v>
      </c>
      <c r="C8">
        <v>144949.77883775899</v>
      </c>
      <c r="D8">
        <v>183135.53952738599</v>
      </c>
      <c r="E8">
        <v>142672.50030822301</v>
      </c>
      <c r="G8" s="1">
        <v>230112.91800000001</v>
      </c>
      <c r="H8">
        <v>-76363.171016907305</v>
      </c>
      <c r="P8" t="s">
        <v>246</v>
      </c>
    </row>
    <row r="9" spans="1:21" x14ac:dyDescent="0.25">
      <c r="P9" t="s">
        <v>78</v>
      </c>
    </row>
    <row r="10" spans="1:21" x14ac:dyDescent="0.25">
      <c r="J10">
        <f>J5+K5</f>
        <v>399070.16755034728</v>
      </c>
      <c r="L10" s="27">
        <f>J6/L6</f>
        <v>9.9719106959529989E-3</v>
      </c>
      <c r="P10" t="s">
        <v>247</v>
      </c>
    </row>
    <row r="11" spans="1:21" x14ac:dyDescent="0.25">
      <c r="P11" t="s">
        <v>248</v>
      </c>
    </row>
    <row r="12" spans="1:21" x14ac:dyDescent="0.25">
      <c r="C12" t="s">
        <v>18</v>
      </c>
      <c r="D12" t="s">
        <v>19</v>
      </c>
      <c r="P12" t="s">
        <v>249</v>
      </c>
    </row>
    <row r="13" spans="1:21" x14ac:dyDescent="0.25">
      <c r="B13" t="s">
        <v>293</v>
      </c>
      <c r="C13">
        <f>L5-K5-J5</f>
        <v>56009.818339650694</v>
      </c>
      <c r="D13">
        <f>L6-J6</f>
        <v>450541.96891118737</v>
      </c>
      <c r="E13">
        <f>D13+D14-D15</f>
        <v>532087.69650134572</v>
      </c>
      <c r="F13" t="s">
        <v>296</v>
      </c>
      <c r="G13">
        <f>F5</f>
        <v>123079.97784978199</v>
      </c>
      <c r="P13" t="s">
        <v>250</v>
      </c>
    </row>
    <row r="14" spans="1:21" x14ac:dyDescent="0.25">
      <c r="B14" t="s">
        <v>294</v>
      </c>
      <c r="C14">
        <f>J5</f>
        <v>66955.007570000307</v>
      </c>
      <c r="D14">
        <f>J6</f>
        <v>4538.0169788106105</v>
      </c>
      <c r="F14" t="s">
        <v>297</v>
      </c>
      <c r="G14">
        <f>F6</f>
        <v>532139.90376229305</v>
      </c>
      <c r="J14">
        <f>F5+K5</f>
        <v>455195.13783012895</v>
      </c>
      <c r="P14" t="s">
        <v>84</v>
      </c>
    </row>
    <row r="15" spans="1:21" x14ac:dyDescent="0.25">
      <c r="B15" s="1" t="s">
        <v>295</v>
      </c>
      <c r="C15">
        <f>K5</f>
        <v>332115.15998034697</v>
      </c>
      <c r="D15">
        <f>K6</f>
        <v>-77007.710611347706</v>
      </c>
      <c r="F15" t="s">
        <v>298</v>
      </c>
      <c r="G15" s="1">
        <f>G7</f>
        <v>230112.91800000001</v>
      </c>
      <c r="P15" t="s">
        <v>86</v>
      </c>
    </row>
    <row r="16" spans="1:21" x14ac:dyDescent="0.25">
      <c r="P16" t="s">
        <v>90</v>
      </c>
    </row>
    <row r="17" spans="16:16" x14ac:dyDescent="0.25">
      <c r="P17" t="s">
        <v>82</v>
      </c>
    </row>
    <row r="18" spans="16:16" x14ac:dyDescent="0.25">
      <c r="P18" t="s">
        <v>251</v>
      </c>
    </row>
    <row r="19" spans="16:16" x14ac:dyDescent="0.25">
      <c r="P19" t="s">
        <v>242</v>
      </c>
    </row>
    <row r="20" spans="16:16" x14ac:dyDescent="0.25">
      <c r="P20" t="s">
        <v>252</v>
      </c>
    </row>
    <row r="21" spans="16:16" x14ac:dyDescent="0.25">
      <c r="P21" t="s">
        <v>253</v>
      </c>
    </row>
    <row r="22" spans="16:16" x14ac:dyDescent="0.25">
      <c r="P22" t="s">
        <v>240</v>
      </c>
    </row>
    <row r="23" spans="16:16" x14ac:dyDescent="0.25">
      <c r="P23" t="s">
        <v>254</v>
      </c>
    </row>
    <row r="35" spans="8:12" x14ac:dyDescent="0.25">
      <c r="H35" t="s">
        <v>299</v>
      </c>
      <c r="J35" t="s">
        <v>300</v>
      </c>
      <c r="L35" t="s">
        <v>301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BDCD-32C0-4B14-B0B3-C5DC1C30C282}">
  <dimension ref="A3:T95"/>
  <sheetViews>
    <sheetView zoomScale="58" workbookViewId="0">
      <selection activeCell="C56" sqref="C56"/>
    </sheetView>
  </sheetViews>
  <sheetFormatPr defaultRowHeight="15" x14ac:dyDescent="0.25"/>
  <cols>
    <col min="1" max="1" width="9.85546875" bestFit="1" customWidth="1"/>
    <col min="2" max="2" width="38.140625" bestFit="1" customWidth="1"/>
    <col min="3" max="3" width="22.140625" customWidth="1"/>
    <col min="4" max="4" width="19.5703125" customWidth="1"/>
    <col min="5" max="6" width="20.140625" customWidth="1"/>
    <col min="7" max="7" width="26.42578125" customWidth="1"/>
    <col min="8" max="8" width="28.5703125" bestFit="1" customWidth="1"/>
    <col min="9" max="9" width="28.85546875" bestFit="1" customWidth="1"/>
    <col min="10" max="11" width="24.85546875" customWidth="1"/>
    <col min="12" max="12" width="23.42578125" customWidth="1"/>
    <col min="13" max="13" width="26.42578125" customWidth="1"/>
    <col min="14" max="14" width="24.85546875" customWidth="1"/>
    <col min="15" max="16" width="29.140625" customWidth="1"/>
    <col min="17" max="17" width="17.85546875" customWidth="1"/>
    <col min="18" max="20" width="9.5703125" bestFit="1" customWidth="1"/>
  </cols>
  <sheetData>
    <row r="3" spans="2:17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</row>
    <row r="4" spans="2:17" x14ac:dyDescent="0.25">
      <c r="B4" t="s">
        <v>16</v>
      </c>
      <c r="C4">
        <f>'Base case'!M102</f>
        <v>118882.608593394</v>
      </c>
      <c r="D4">
        <f>'Base case'!G102</f>
        <v>719792.62026915001</v>
      </c>
      <c r="E4">
        <f>'Base case'!H102</f>
        <v>42473.928917806203</v>
      </c>
      <c r="F4">
        <v>0</v>
      </c>
      <c r="G4">
        <f>'Base case'!H102</f>
        <v>42473.928917806203</v>
      </c>
      <c r="H4">
        <f t="shared" ref="H4:H9" si="0">D4+G4</f>
        <v>762266.54918695625</v>
      </c>
      <c r="J4">
        <f>'Base case'!C104</f>
        <v>32044.589674143732</v>
      </c>
      <c r="L4" s="1">
        <v>456745.18599999999</v>
      </c>
    </row>
    <row r="5" spans="2:17" x14ac:dyDescent="0.25">
      <c r="B5" t="s">
        <v>17</v>
      </c>
      <c r="C5">
        <f>'Scenario 1'!M102</f>
        <v>157707.630285586</v>
      </c>
      <c r="D5">
        <f>'Scenario 1'!H102</f>
        <v>818723.99101913103</v>
      </c>
      <c r="E5">
        <f>'Scenario 1'!I102</f>
        <v>0</v>
      </c>
      <c r="F5">
        <v>0</v>
      </c>
      <c r="G5">
        <v>0</v>
      </c>
      <c r="H5">
        <f t="shared" si="0"/>
        <v>818723.99101913103</v>
      </c>
      <c r="J5">
        <f>0</f>
        <v>0</v>
      </c>
      <c r="L5" s="1">
        <v>456745.18599999999</v>
      </c>
      <c r="M5" s="1">
        <v>123103.19</v>
      </c>
    </row>
    <row r="6" spans="2:17" x14ac:dyDescent="0.25">
      <c r="B6" t="s">
        <v>18</v>
      </c>
      <c r="C6">
        <f>'Scenario 2'!W102</f>
        <v>118920.27978782399</v>
      </c>
      <c r="D6">
        <f>'Scenario 2'!O102</f>
        <v>621452.61984325398</v>
      </c>
      <c r="E6">
        <f>'Scenario 2'!P102</f>
        <v>42473.928986299201</v>
      </c>
      <c r="F6">
        <v>0</v>
      </c>
      <c r="G6">
        <f>'Scenario 2'!P102</f>
        <v>42473.928986299201</v>
      </c>
      <c r="H6">
        <f t="shared" si="0"/>
        <v>663926.54882955318</v>
      </c>
      <c r="J6">
        <f>'Scenario 2'!T102</f>
        <v>68988.081074824804</v>
      </c>
      <c r="L6" s="1">
        <v>456745.18599999999</v>
      </c>
      <c r="M6" s="1">
        <v>123103.19</v>
      </c>
      <c r="O6" s="1">
        <v>333757.33799999999</v>
      </c>
      <c r="P6" s="1">
        <v>66955.896999999997</v>
      </c>
    </row>
    <row r="7" spans="2:17" x14ac:dyDescent="0.25">
      <c r="B7" t="s">
        <v>19</v>
      </c>
      <c r="C7">
        <f>'Scenario 3'!$X$102</f>
        <v>-10137.4160772613</v>
      </c>
      <c r="D7">
        <f>'Scenario 3'!O102</f>
        <v>358415.21254482103</v>
      </c>
      <c r="E7">
        <f>'Scenario 3'!P102</f>
        <v>183637.28073286501</v>
      </c>
      <c r="F7">
        <v>0</v>
      </c>
      <c r="G7">
        <f>'Scenario 3'!P102</f>
        <v>183637.28073286501</v>
      </c>
      <c r="H7">
        <f t="shared" si="0"/>
        <v>542052.49327768607</v>
      </c>
      <c r="J7">
        <f>'Scenario 3'!T102</f>
        <v>147869.80179024601</v>
      </c>
      <c r="L7" s="1">
        <v>456745.18599999999</v>
      </c>
      <c r="M7" s="1">
        <v>532240.26399999997</v>
      </c>
      <c r="O7" s="1">
        <v>-75442.680999999997</v>
      </c>
    </row>
    <row r="8" spans="2:17" x14ac:dyDescent="0.25">
      <c r="B8" t="s">
        <v>20</v>
      </c>
      <c r="C8">
        <f>'Scenario 4'!$R$102</f>
        <v>64552.080710820599</v>
      </c>
      <c r="D8">
        <f>'Scenario 4'!$L$102</f>
        <v>413532.49445822201</v>
      </c>
      <c r="E8">
        <f>'Scenario 4'!$M$102</f>
        <v>42473.928986299201</v>
      </c>
      <c r="F8">
        <f>'Scenario 4'!$O$102</f>
        <v>143063.38356164601</v>
      </c>
      <c r="G8">
        <f>'Scenario 4'!$M$102+'Scenario 4'!$O$102</f>
        <v>185537.31254794521</v>
      </c>
      <c r="H8">
        <f t="shared" si="0"/>
        <v>599069.80700616725</v>
      </c>
      <c r="I8">
        <f>'Scenario 4'!$G$102</f>
        <v>6789.1655739550497</v>
      </c>
      <c r="J8">
        <f>'Scenario 4'!$G$102+'Scenario 4'!$H$102</f>
        <v>41452.912476099547</v>
      </c>
      <c r="L8" s="1">
        <v>456745.18599999999</v>
      </c>
      <c r="M8" s="1">
        <v>123103.19</v>
      </c>
    </row>
    <row r="9" spans="2:17" x14ac:dyDescent="0.25">
      <c r="B9" t="s">
        <v>21</v>
      </c>
      <c r="C9">
        <f>'Scenario 5'!$V$102</f>
        <v>-76149.034977244097</v>
      </c>
      <c r="D9">
        <f>'Scenario 5'!$N$102</f>
        <v>145823.48494922699</v>
      </c>
      <c r="E9">
        <f>'Scenario 5'!$O$102</f>
        <v>183637.28073286501</v>
      </c>
      <c r="F9">
        <f>'Scenario 5'!$Q$102</f>
        <v>143063.38386986699</v>
      </c>
      <c r="G9">
        <f>'Scenario 5'!$O$102+'Scenario 5'!$Q$102</f>
        <v>326700.66460273199</v>
      </c>
      <c r="H9">
        <f t="shared" si="0"/>
        <v>472524.14955195901</v>
      </c>
      <c r="I9">
        <f>'Scenario 5'!$H$102</f>
        <v>23013.351185889798</v>
      </c>
      <c r="J9">
        <f>'Scenario 5'!$H$102+'Scenario 5'!$I$102</f>
        <v>178226.53865110781</v>
      </c>
      <c r="L9" s="1">
        <v>456745.18599999999</v>
      </c>
      <c r="M9" s="1">
        <v>532240.26399999997</v>
      </c>
    </row>
    <row r="11" spans="2:17" x14ac:dyDescent="0.25">
      <c r="B11">
        <f>27/137</f>
        <v>0.19708029197080293</v>
      </c>
    </row>
    <row r="12" spans="2:17" x14ac:dyDescent="0.25">
      <c r="B12" t="str">
        <f>B3</f>
        <v>Scenario</v>
      </c>
      <c r="C12" t="str">
        <f>C3</f>
        <v>CO2 emissions [kg]</v>
      </c>
      <c r="E12" t="str">
        <f>B3</f>
        <v>Scenario</v>
      </c>
      <c r="F12" t="s">
        <v>22</v>
      </c>
      <c r="G12" t="str">
        <f>E3</f>
        <v>Cost of PV</v>
      </c>
      <c r="H12" t="str">
        <f>F3</f>
        <v>Cost of wind turbine</v>
      </c>
      <c r="I12" t="s">
        <v>1</v>
      </c>
    </row>
    <row r="13" spans="2:17" x14ac:dyDescent="0.25">
      <c r="B13" t="str">
        <f t="shared" ref="B13:C18" si="1">B4</f>
        <v>Base case</v>
      </c>
      <c r="C13">
        <f>C4</f>
        <v>118882.608593394</v>
      </c>
      <c r="D13" s="3">
        <f>C13/$C$14</f>
        <v>0.75381646644562839</v>
      </c>
      <c r="E13" t="str">
        <f t="shared" ref="E13:E18" si="2">B4</f>
        <v>Base case</v>
      </c>
      <c r="F13" s="2">
        <f>D4-I4</f>
        <v>719792.62026915001</v>
      </c>
      <c r="G13" s="2">
        <f t="shared" ref="G13:G18" si="3">E4</f>
        <v>42473.928917806203</v>
      </c>
      <c r="H13" s="2">
        <f t="shared" ref="H13:H18" si="4">F4</f>
        <v>0</v>
      </c>
      <c r="I13" s="2">
        <v>118882.608593394</v>
      </c>
      <c r="J13">
        <f>(F13+G13+H13)/$F$14</f>
        <v>0.93104215529106737</v>
      </c>
    </row>
    <row r="14" spans="2:17" x14ac:dyDescent="0.25">
      <c r="B14" t="str">
        <f t="shared" si="1"/>
        <v>Scenario 1</v>
      </c>
      <c r="C14">
        <f t="shared" si="1"/>
        <v>157707.630285586</v>
      </c>
      <c r="D14" s="3">
        <f t="shared" ref="D14:D18" si="5">C14/$C$14</f>
        <v>1</v>
      </c>
      <c r="E14" t="str">
        <f t="shared" si="2"/>
        <v>Scenario 1</v>
      </c>
      <c r="F14" s="2">
        <f t="shared" ref="F14:F18" si="6">D5-I5</f>
        <v>818723.99101913103</v>
      </c>
      <c r="G14" s="2">
        <f t="shared" si="3"/>
        <v>0</v>
      </c>
      <c r="H14" s="2">
        <f t="shared" si="4"/>
        <v>0</v>
      </c>
      <c r="I14" s="2">
        <v>157707.630285586</v>
      </c>
      <c r="J14">
        <f t="shared" ref="J14:J18" si="7">(F14+G14+H14)/$F$14</f>
        <v>1</v>
      </c>
    </row>
    <row r="15" spans="2:17" x14ac:dyDescent="0.25">
      <c r="B15" t="str">
        <f t="shared" si="1"/>
        <v>Scenario 2</v>
      </c>
      <c r="C15">
        <f t="shared" si="1"/>
        <v>118920.27978782399</v>
      </c>
      <c r="D15" s="3">
        <f>C15/$C$14</f>
        <v>0.75405533373671485</v>
      </c>
      <c r="E15" t="str">
        <f t="shared" si="2"/>
        <v>Scenario 2</v>
      </c>
      <c r="F15" s="2">
        <f t="shared" si="6"/>
        <v>621452.61984325398</v>
      </c>
      <c r="G15" s="2">
        <f t="shared" si="3"/>
        <v>42473.928986299201</v>
      </c>
      <c r="H15" s="2">
        <f t="shared" si="4"/>
        <v>0</v>
      </c>
      <c r="I15" s="2">
        <v>118920.27978782399</v>
      </c>
      <c r="J15">
        <f t="shared" si="7"/>
        <v>0.81092841557398465</v>
      </c>
    </row>
    <row r="16" spans="2:17" x14ac:dyDescent="0.25">
      <c r="B16" t="str">
        <f t="shared" si="1"/>
        <v>Scenario 3</v>
      </c>
      <c r="C16">
        <f t="shared" si="1"/>
        <v>-10137.4160772613</v>
      </c>
      <c r="D16" s="3">
        <f t="shared" si="5"/>
        <v>-6.4279807254118818E-2</v>
      </c>
      <c r="E16" t="str">
        <f t="shared" si="2"/>
        <v>Scenario 3</v>
      </c>
      <c r="F16" s="2">
        <f t="shared" si="6"/>
        <v>358415.21254482103</v>
      </c>
      <c r="G16" s="2">
        <f t="shared" si="3"/>
        <v>183637.28073286501</v>
      </c>
      <c r="H16" s="2">
        <f t="shared" si="4"/>
        <v>0</v>
      </c>
      <c r="I16" s="2">
        <v>-10137.4160772613</v>
      </c>
      <c r="J16">
        <f t="shared" si="7"/>
        <v>0.66206987852273647</v>
      </c>
    </row>
    <row r="17" spans="2:20" x14ac:dyDescent="0.25">
      <c r="B17" t="str">
        <f t="shared" si="1"/>
        <v>Scenario 4</v>
      </c>
      <c r="C17">
        <f t="shared" si="1"/>
        <v>64552.080710820599</v>
      </c>
      <c r="D17" s="3">
        <f t="shared" si="5"/>
        <v>0.40931488599458377</v>
      </c>
      <c r="E17" t="str">
        <f t="shared" si="2"/>
        <v>Scenario 4</v>
      </c>
      <c r="F17" s="2">
        <f t="shared" si="6"/>
        <v>406743.32888426696</v>
      </c>
      <c r="G17" s="2">
        <f t="shared" si="3"/>
        <v>42473.928986299201</v>
      </c>
      <c r="H17" s="2">
        <f t="shared" si="4"/>
        <v>143063.38356164601</v>
      </c>
      <c r="I17" s="2">
        <v>64552.080710820599</v>
      </c>
      <c r="J17">
        <f t="shared" si="7"/>
        <v>0.72341918391197169</v>
      </c>
    </row>
    <row r="18" spans="2:20" x14ac:dyDescent="0.25">
      <c r="B18" t="str">
        <f t="shared" si="1"/>
        <v>Scenario 5</v>
      </c>
      <c r="C18">
        <f t="shared" si="1"/>
        <v>-76149.034977244097</v>
      </c>
      <c r="D18" s="3">
        <f t="shared" si="5"/>
        <v>-0.48284940201909743</v>
      </c>
      <c r="E18" t="str">
        <f t="shared" si="2"/>
        <v>Scenario 5</v>
      </c>
      <c r="F18" s="2">
        <f t="shared" si="6"/>
        <v>122810.13376333719</v>
      </c>
      <c r="G18" s="2">
        <f t="shared" si="3"/>
        <v>183637.28073286501</v>
      </c>
      <c r="H18" s="2">
        <f t="shared" si="4"/>
        <v>143063.38386986699</v>
      </c>
      <c r="I18" s="2">
        <v>-76149.034977244097</v>
      </c>
      <c r="J18">
        <f t="shared" si="7"/>
        <v>0.54903826356245811</v>
      </c>
      <c r="O18">
        <v>676.221</v>
      </c>
      <c r="P18" s="1">
        <v>2009.296</v>
      </c>
      <c r="R18" s="1">
        <v>3312.3919999999998</v>
      </c>
      <c r="S18" s="1">
        <v>5565.6689999999999</v>
      </c>
      <c r="T18" s="1">
        <v>6204.3919999999998</v>
      </c>
    </row>
    <row r="20" spans="2:20" x14ac:dyDescent="0.25">
      <c r="F20" s="7"/>
      <c r="H20" t="s">
        <v>0</v>
      </c>
    </row>
    <row r="21" spans="2:20" x14ac:dyDescent="0.25">
      <c r="H21" t="s">
        <v>16</v>
      </c>
      <c r="I21">
        <f t="shared" ref="I21:I22" si="8">(H$4-(H$4-H4))/(H$4)</f>
        <v>1</v>
      </c>
      <c r="J21">
        <f>H$4-H4</f>
        <v>0</v>
      </c>
      <c r="K21">
        <f>C4</f>
        <v>118882.608593394</v>
      </c>
      <c r="N21" s="10" t="s">
        <v>23</v>
      </c>
      <c r="O21" s="13" t="s">
        <v>24</v>
      </c>
      <c r="P21" s="16" t="s">
        <v>17</v>
      </c>
      <c r="Q21" s="13" t="s">
        <v>18</v>
      </c>
      <c r="R21" s="16" t="s">
        <v>19</v>
      </c>
      <c r="S21" s="13" t="s">
        <v>20</v>
      </c>
      <c r="T21" s="16" t="s">
        <v>21</v>
      </c>
    </row>
    <row r="22" spans="2:20" x14ac:dyDescent="0.25">
      <c r="H22" t="s">
        <v>17</v>
      </c>
      <c r="I22">
        <f t="shared" si="8"/>
        <v>1.0740652228441521</v>
      </c>
      <c r="J22">
        <f t="shared" ref="J22:J26" si="9">H$4-H5</f>
        <v>-56457.44183217478</v>
      </c>
      <c r="K22">
        <f t="shared" ref="K22:K26" si="10">C5</f>
        <v>157707.630285586</v>
      </c>
      <c r="L22">
        <f>(K$21-(K$21-K22))/(K$21)</f>
        <v>1.3265828547301022</v>
      </c>
      <c r="N22" s="11">
        <v>-0.2</v>
      </c>
      <c r="O22" s="13">
        <v>634</v>
      </c>
      <c r="P22" s="17">
        <v>0</v>
      </c>
      <c r="Q22" s="15">
        <v>1759</v>
      </c>
      <c r="R22" s="16">
        <v>3154</v>
      </c>
      <c r="S22" s="13">
        <v>5438</v>
      </c>
      <c r="T22" s="16">
        <v>6129</v>
      </c>
    </row>
    <row r="23" spans="2:20" x14ac:dyDescent="0.25">
      <c r="H23" t="s">
        <v>18</v>
      </c>
      <c r="I23">
        <f>(H$4-(H$4-H6))/(H$4)</f>
        <v>0.87099000938412707</v>
      </c>
      <c r="J23">
        <f t="shared" si="9"/>
        <v>98340.000357403071</v>
      </c>
      <c r="K23">
        <f t="shared" si="10"/>
        <v>118920.27978782399</v>
      </c>
      <c r="L23">
        <f t="shared" ref="L23:L26" si="11">(K$21-(K$21-K23))/(K$21)</f>
        <v>1.0003168772529112</v>
      </c>
      <c r="N23" s="10" t="s">
        <v>25</v>
      </c>
      <c r="O23" s="14">
        <v>676</v>
      </c>
      <c r="P23" s="17">
        <v>0</v>
      </c>
      <c r="Q23" s="14">
        <v>2009</v>
      </c>
      <c r="R23" s="17">
        <v>3312</v>
      </c>
      <c r="S23" s="14">
        <v>5565</v>
      </c>
      <c r="T23" s="17">
        <v>6204</v>
      </c>
    </row>
    <row r="24" spans="2:20" x14ac:dyDescent="0.25">
      <c r="H24" t="s">
        <v>19</v>
      </c>
      <c r="I24">
        <f>(H$4-(H$4-H7))/(H$4)</f>
        <v>0.71110623161392372</v>
      </c>
      <c r="J24">
        <f t="shared" si="9"/>
        <v>220214.05590927019</v>
      </c>
      <c r="K24">
        <f t="shared" si="10"/>
        <v>-10137.4160772613</v>
      </c>
      <c r="L24">
        <f t="shared" si="11"/>
        <v>-8.5272490208669643E-2</v>
      </c>
      <c r="N24" s="11">
        <v>0.2</v>
      </c>
      <c r="O24" s="14">
        <v>707</v>
      </c>
      <c r="P24" s="17">
        <v>0</v>
      </c>
      <c r="Q24" s="13">
        <v>2204</v>
      </c>
      <c r="R24" s="16">
        <v>3430</v>
      </c>
      <c r="S24" s="13">
        <v>5664</v>
      </c>
      <c r="T24" s="16">
        <v>6261</v>
      </c>
    </row>
    <row r="25" spans="2:20" x14ac:dyDescent="0.25">
      <c r="H25" t="s">
        <v>20</v>
      </c>
      <c r="I25">
        <f t="shared" ref="I25:I26" si="12">(H$4-(H$4-H8))/(H$4)</f>
        <v>0.78590593755575811</v>
      </c>
      <c r="J25">
        <f t="shared" si="9"/>
        <v>163196.74218078901</v>
      </c>
      <c r="K25">
        <f t="shared" si="10"/>
        <v>64552.080710820599</v>
      </c>
      <c r="L25">
        <f t="shared" si="11"/>
        <v>0.54299010994622121</v>
      </c>
      <c r="N25" s="23">
        <v>-0.2</v>
      </c>
      <c r="O25" s="20">
        <f>O22/8760*100</f>
        <v>7.237442922374429</v>
      </c>
      <c r="P25" s="20">
        <f t="shared" ref="P25:T25" si="13">P22/8760*100</f>
        <v>0</v>
      </c>
      <c r="Q25" s="20">
        <f t="shared" si="13"/>
        <v>20.079908675799089</v>
      </c>
      <c r="R25" s="20">
        <f t="shared" si="13"/>
        <v>36.004566210045667</v>
      </c>
      <c r="S25" s="20">
        <f t="shared" si="13"/>
        <v>62.077625570776249</v>
      </c>
      <c r="T25" s="20">
        <f t="shared" si="13"/>
        <v>69.965753424657535</v>
      </c>
    </row>
    <row r="26" spans="2:20" x14ac:dyDescent="0.25">
      <c r="H26" t="s">
        <v>21</v>
      </c>
      <c r="I26">
        <f t="shared" si="12"/>
        <v>0.61989359241325703</v>
      </c>
      <c r="J26">
        <f t="shared" si="9"/>
        <v>289742.39963499724</v>
      </c>
      <c r="K26">
        <f t="shared" si="10"/>
        <v>-76149.034977244097</v>
      </c>
      <c r="L26">
        <f t="shared" si="11"/>
        <v>-0.64053973813521692</v>
      </c>
      <c r="N26" s="10" t="s">
        <v>26</v>
      </c>
      <c r="O26" s="20">
        <f t="shared" ref="O26:T27" si="14">O23/8760*100</f>
        <v>7.7168949771689501</v>
      </c>
      <c r="P26" s="20">
        <f t="shared" si="14"/>
        <v>0</v>
      </c>
      <c r="Q26" s="20">
        <f t="shared" si="14"/>
        <v>22.9337899543379</v>
      </c>
      <c r="R26" s="20">
        <f t="shared" si="14"/>
        <v>37.80821917808219</v>
      </c>
      <c r="S26" s="20">
        <f t="shared" si="14"/>
        <v>63.527397260273979</v>
      </c>
      <c r="T26" s="20">
        <f t="shared" si="14"/>
        <v>70.821917808219183</v>
      </c>
    </row>
    <row r="27" spans="2:20" x14ac:dyDescent="0.25">
      <c r="N27" s="24">
        <v>0.2</v>
      </c>
      <c r="O27" s="20">
        <f t="shared" si="14"/>
        <v>8.0707762557077629</v>
      </c>
      <c r="P27" s="20">
        <f t="shared" si="14"/>
        <v>0</v>
      </c>
      <c r="Q27" s="20">
        <f t="shared" si="14"/>
        <v>25.159817351598175</v>
      </c>
      <c r="R27" s="20">
        <f t="shared" si="14"/>
        <v>39.155251141552512</v>
      </c>
      <c r="S27" s="20">
        <f t="shared" si="14"/>
        <v>64.657534246575338</v>
      </c>
      <c r="T27" s="20">
        <f t="shared" si="14"/>
        <v>71.472602739726028</v>
      </c>
    </row>
    <row r="28" spans="2:20" x14ac:dyDescent="0.25">
      <c r="N28" t="s">
        <v>27</v>
      </c>
      <c r="O28" s="7">
        <f>O25-O26</f>
        <v>-0.47945205479452113</v>
      </c>
      <c r="P28" s="7">
        <f t="shared" ref="P28:T28" si="15">P25-P26</f>
        <v>0</v>
      </c>
      <c r="Q28" s="7">
        <f t="shared" si="15"/>
        <v>-2.853881278538811</v>
      </c>
      <c r="R28" s="7">
        <f t="shared" si="15"/>
        <v>-1.8036529680365234</v>
      </c>
      <c r="S28" s="7">
        <f t="shared" si="15"/>
        <v>-1.4497716894977302</v>
      </c>
      <c r="T28" s="7">
        <f t="shared" si="15"/>
        <v>-0.85616438356164792</v>
      </c>
    </row>
    <row r="29" spans="2:20" x14ac:dyDescent="0.25">
      <c r="I29" t="s">
        <v>0</v>
      </c>
      <c r="J29" t="s">
        <v>28</v>
      </c>
      <c r="K29" t="s">
        <v>29</v>
      </c>
      <c r="L29" t="s">
        <v>30</v>
      </c>
      <c r="N29" t="s">
        <v>27</v>
      </c>
      <c r="O29" s="7">
        <f>O26-O26</f>
        <v>0</v>
      </c>
      <c r="P29" s="7">
        <f t="shared" ref="P29:T29" si="16">P26-P26</f>
        <v>0</v>
      </c>
      <c r="Q29" s="7">
        <f t="shared" si="16"/>
        <v>0</v>
      </c>
      <c r="R29" s="7">
        <f t="shared" si="16"/>
        <v>0</v>
      </c>
      <c r="S29" s="7">
        <f t="shared" si="16"/>
        <v>0</v>
      </c>
      <c r="T29" s="7">
        <f t="shared" si="16"/>
        <v>0</v>
      </c>
    </row>
    <row r="30" spans="2:20" x14ac:dyDescent="0.25">
      <c r="I30" t="s">
        <v>16</v>
      </c>
      <c r="L30">
        <f>D6/D4*L32</f>
        <v>0.23269977420160831</v>
      </c>
      <c r="M30" s="1">
        <v>456745.18599999999</v>
      </c>
      <c r="N30" t="s">
        <v>27</v>
      </c>
      <c r="O30" s="7">
        <f>O27-O26</f>
        <v>0.35388127853881279</v>
      </c>
      <c r="P30" s="7">
        <f t="shared" ref="P30:T30" si="17">P27-P26</f>
        <v>0</v>
      </c>
      <c r="Q30" s="7">
        <f t="shared" si="17"/>
        <v>2.2260273972602747</v>
      </c>
      <c r="R30" s="7">
        <f t="shared" si="17"/>
        <v>1.3470319634703216</v>
      </c>
      <c r="S30" s="7">
        <f t="shared" si="17"/>
        <v>1.1301369863013591</v>
      </c>
      <c r="T30" s="7">
        <f t="shared" si="17"/>
        <v>0.65068493150684503</v>
      </c>
    </row>
    <row r="31" spans="2:20" x14ac:dyDescent="0.25">
      <c r="I31" t="s">
        <v>17</v>
      </c>
      <c r="J31">
        <v>0</v>
      </c>
      <c r="M31" s="1">
        <v>456745.18599999999</v>
      </c>
      <c r="N31" t="s">
        <v>27</v>
      </c>
      <c r="O31" s="7">
        <f>O22-O23</f>
        <v>-42</v>
      </c>
      <c r="P31" s="7">
        <f t="shared" ref="P31:T31" si="18">P22-P23</f>
        <v>0</v>
      </c>
      <c r="Q31" s="7">
        <f t="shared" si="18"/>
        <v>-250</v>
      </c>
      <c r="R31" s="7">
        <f t="shared" si="18"/>
        <v>-158</v>
      </c>
      <c r="S31" s="7">
        <f t="shared" si="18"/>
        <v>-127</v>
      </c>
      <c r="T31" s="7">
        <f t="shared" si="18"/>
        <v>-75</v>
      </c>
    </row>
    <row r="32" spans="2:20" x14ac:dyDescent="0.25">
      <c r="I32" t="s">
        <v>18</v>
      </c>
      <c r="J32" s="1">
        <v>123103.19</v>
      </c>
      <c r="L32">
        <f>J32/M32</f>
        <v>0.26952268742685775</v>
      </c>
      <c r="M32" s="1">
        <v>456745.18599999999</v>
      </c>
      <c r="N32" t="s">
        <v>27</v>
      </c>
      <c r="O32" s="7">
        <f>O23-O23</f>
        <v>0</v>
      </c>
      <c r="P32" s="7">
        <f t="shared" ref="P32:T32" si="19">P23-P23</f>
        <v>0</v>
      </c>
      <c r="Q32" s="7">
        <f t="shared" si="19"/>
        <v>0</v>
      </c>
      <c r="R32" s="7">
        <f t="shared" si="19"/>
        <v>0</v>
      </c>
      <c r="S32" s="7">
        <f t="shared" si="19"/>
        <v>0</v>
      </c>
      <c r="T32" s="7">
        <f t="shared" si="19"/>
        <v>0</v>
      </c>
    </row>
    <row r="33" spans="1:20" x14ac:dyDescent="0.25">
      <c r="I33" t="s">
        <v>19</v>
      </c>
      <c r="J33" s="1">
        <v>532240.26399999997</v>
      </c>
      <c r="L33">
        <f t="shared" ref="L33" si="20">J33/M33</f>
        <v>1.1652892691900205</v>
      </c>
      <c r="M33" s="1">
        <v>456745.18599999999</v>
      </c>
      <c r="N33" t="s">
        <v>27</v>
      </c>
      <c r="O33" s="7">
        <f>O24-O23</f>
        <v>31</v>
      </c>
      <c r="P33" s="7">
        <f t="shared" ref="P33:T33" si="21">P24-P23</f>
        <v>0</v>
      </c>
      <c r="Q33" s="7">
        <f t="shared" si="21"/>
        <v>195</v>
      </c>
      <c r="R33" s="7">
        <f t="shared" si="21"/>
        <v>118</v>
      </c>
      <c r="S33" s="7">
        <f t="shared" si="21"/>
        <v>99</v>
      </c>
      <c r="T33" s="7">
        <f t="shared" si="21"/>
        <v>57</v>
      </c>
    </row>
    <row r="34" spans="1:20" x14ac:dyDescent="0.25">
      <c r="I34" t="s">
        <v>20</v>
      </c>
      <c r="J34" s="8">
        <f>J32</f>
        <v>123103.19</v>
      </c>
      <c r="K34">
        <f>J34*K36</f>
        <v>8789.1156239167976</v>
      </c>
      <c r="L34">
        <f>(J34+K34)/M34</f>
        <v>0.2887656173871897</v>
      </c>
      <c r="M34" s="1">
        <v>456745.18599999999</v>
      </c>
    </row>
    <row r="35" spans="1:20" x14ac:dyDescent="0.25">
      <c r="I35" t="s">
        <v>21</v>
      </c>
      <c r="J35" s="8">
        <f>J33</f>
        <v>532240.26399999997</v>
      </c>
      <c r="K35">
        <f>38000</f>
        <v>38000</v>
      </c>
      <c r="L35">
        <f>(J35+K35)/M35</f>
        <v>1.2484866430535295</v>
      </c>
      <c r="M35" s="1">
        <v>456745.18599999999</v>
      </c>
    </row>
    <row r="36" spans="1:20" x14ac:dyDescent="0.25">
      <c r="K36" s="9">
        <f>K35/J35</f>
        <v>7.1396327129433418E-2</v>
      </c>
    </row>
    <row r="37" spans="1:20" x14ac:dyDescent="0.25">
      <c r="J37" s="8">
        <f>J35+K35</f>
        <v>570240.26399999997</v>
      </c>
    </row>
    <row r="40" spans="1:20" x14ac:dyDescent="0.25">
      <c r="B40" t="s">
        <v>31</v>
      </c>
      <c r="C40" t="s">
        <v>32</v>
      </c>
    </row>
    <row r="45" spans="1:20" x14ac:dyDescent="0.25">
      <c r="A45" s="10"/>
      <c r="B45" s="13" t="s">
        <v>24</v>
      </c>
      <c r="C45" s="16" t="s">
        <v>17</v>
      </c>
      <c r="D45" s="13" t="s">
        <v>18</v>
      </c>
      <c r="E45" s="16" t="s">
        <v>19</v>
      </c>
      <c r="F45" s="13" t="s">
        <v>20</v>
      </c>
      <c r="G45" s="16" t="s">
        <v>21</v>
      </c>
      <c r="J45" t="s">
        <v>24</v>
      </c>
      <c r="K45" t="s">
        <v>17</v>
      </c>
      <c r="L45" t="s">
        <v>18</v>
      </c>
      <c r="M45" t="s">
        <v>19</v>
      </c>
      <c r="N45" t="s">
        <v>20</v>
      </c>
      <c r="O45" t="s">
        <v>21</v>
      </c>
    </row>
    <row r="46" spans="1:20" x14ac:dyDescent="0.25">
      <c r="A46" s="11">
        <v>-0.2</v>
      </c>
      <c r="B46" s="13">
        <f>D62</f>
        <v>772932.15240291203</v>
      </c>
      <c r="C46" s="17">
        <f>C47</f>
        <v>818723.99101913103</v>
      </c>
      <c r="D46" s="15">
        <f>K77</f>
        <v>690905.74926930398</v>
      </c>
      <c r="E46" s="16">
        <f>K83</f>
        <v>592785.562362183</v>
      </c>
      <c r="F46" s="13">
        <f>J86</f>
        <v>609831.81353888195</v>
      </c>
      <c r="G46" s="16">
        <f>J95</f>
        <v>518216.51551811403</v>
      </c>
      <c r="I46" s="6">
        <v>-0.2</v>
      </c>
      <c r="J46">
        <f>Q71</f>
        <v>126686.636979118</v>
      </c>
      <c r="L46">
        <f>Q77</f>
        <v>126191.784800607</v>
      </c>
      <c r="M46">
        <f>Q83</f>
        <v>22955.7711489088</v>
      </c>
      <c r="N46">
        <f>N47+(N47-N48)</f>
        <v>72711.979849010007</v>
      </c>
      <c r="O46">
        <f>S95</f>
        <v>-41638.705955760997</v>
      </c>
    </row>
    <row r="47" spans="1:20" x14ac:dyDescent="0.25">
      <c r="A47" s="10" t="s">
        <v>25</v>
      </c>
      <c r="B47" s="14">
        <f>F13+G13+H13</f>
        <v>762266.54918695625</v>
      </c>
      <c r="C47" s="17">
        <f>F14+G14+H14</f>
        <v>818723.99101913103</v>
      </c>
      <c r="D47" s="14">
        <f>F15+G15+H15</f>
        <v>663926.54882955318</v>
      </c>
      <c r="E47" s="17">
        <f>F16+G16+H16</f>
        <v>542052.49327768607</v>
      </c>
      <c r="F47" s="14">
        <f>F17+G17+H17</f>
        <v>592280.6414322122</v>
      </c>
      <c r="G47" s="17">
        <f>F18+G18+H18</f>
        <v>449510.79836606921</v>
      </c>
      <c r="I47" t="s">
        <v>25</v>
      </c>
      <c r="J47">
        <f>C4</f>
        <v>118882.608593394</v>
      </c>
      <c r="K47">
        <f>C5</f>
        <v>157707.630285586</v>
      </c>
      <c r="L47">
        <f>C6</f>
        <v>118920.27978782399</v>
      </c>
      <c r="M47">
        <f>C7</f>
        <v>-10137.4160772613</v>
      </c>
      <c r="N47">
        <f>C8</f>
        <v>64552.080710820599</v>
      </c>
      <c r="O47">
        <f>C9</f>
        <v>-76149.034977244097</v>
      </c>
    </row>
    <row r="48" spans="1:20" x14ac:dyDescent="0.25">
      <c r="A48" s="11">
        <v>0.2</v>
      </c>
      <c r="B48" s="14">
        <f>B47-(B46-B47)</f>
        <v>751600.94597100047</v>
      </c>
      <c r="C48" s="17">
        <f>C47</f>
        <v>818723.99101913103</v>
      </c>
      <c r="D48" s="13">
        <f>K74</f>
        <v>636736.63706730295</v>
      </c>
      <c r="E48" s="16">
        <f>K80</f>
        <v>490105.10426576401</v>
      </c>
      <c r="F48" s="13">
        <f>O89</f>
        <v>586038.90403728804</v>
      </c>
      <c r="G48" s="16">
        <f>J92</f>
        <v>425257.50693202502</v>
      </c>
      <c r="I48" s="6">
        <v>0.2</v>
      </c>
      <c r="J48">
        <f>J47-(J46-J47)</f>
        <v>111078.58020767001</v>
      </c>
      <c r="L48">
        <f>Q74</f>
        <v>110661.742834968</v>
      </c>
      <c r="M48">
        <f>Q80</f>
        <v>-44178.380210073497</v>
      </c>
      <c r="N48">
        <f>S89</f>
        <v>56392.181572631198</v>
      </c>
      <c r="O48">
        <f>S92</f>
        <v>-110872.670494103</v>
      </c>
    </row>
    <row r="49" spans="1:7" x14ac:dyDescent="0.25">
      <c r="A49" s="19" t="s">
        <v>33</v>
      </c>
      <c r="B49" s="20">
        <f>B46-B47</f>
        <v>10665.60321595578</v>
      </c>
      <c r="C49" s="20">
        <f>$B$46-C46</f>
        <v>-45791.838616219</v>
      </c>
      <c r="D49" s="19">
        <f>$B$46-D46</f>
        <v>82026.403133608052</v>
      </c>
      <c r="E49" s="19">
        <f>$B$46-E46</f>
        <v>180146.59004072903</v>
      </c>
      <c r="F49" s="19">
        <f>$B$46-F46</f>
        <v>163100.33886403008</v>
      </c>
      <c r="G49" s="19">
        <f>$B$46-G46</f>
        <v>254715.636884798</v>
      </c>
    </row>
    <row r="50" spans="1:7" x14ac:dyDescent="0.25">
      <c r="A50" s="10" t="s">
        <v>34</v>
      </c>
      <c r="B50" s="15">
        <f t="shared" ref="B50:G50" si="22">$B$47-B47</f>
        <v>0</v>
      </c>
      <c r="C50" s="18">
        <f t="shared" si="22"/>
        <v>-56457.44183217478</v>
      </c>
      <c r="D50" s="15">
        <f>$B$47-D47</f>
        <v>98340.000357403071</v>
      </c>
      <c r="E50" s="18">
        <f t="shared" si="22"/>
        <v>220214.05590927019</v>
      </c>
      <c r="F50" s="15">
        <f t="shared" si="22"/>
        <v>169985.90775474405</v>
      </c>
      <c r="G50" s="18">
        <f t="shared" si="22"/>
        <v>312755.75082088704</v>
      </c>
    </row>
    <row r="51" spans="1:7" x14ac:dyDescent="0.25">
      <c r="A51" s="12" t="s">
        <v>35</v>
      </c>
      <c r="B51" s="15">
        <f>B48-B47</f>
        <v>-10665.60321595578</v>
      </c>
      <c r="C51" s="18">
        <f>$B$48-C48</f>
        <v>-67123.04504813056</v>
      </c>
      <c r="D51" s="15">
        <f>$B$48-D48</f>
        <v>114864.30890369753</v>
      </c>
      <c r="E51" s="18">
        <f>$B$48-E48</f>
        <v>261495.84170523647</v>
      </c>
      <c r="F51" s="15">
        <f>$B$48-F48</f>
        <v>165562.04193371243</v>
      </c>
      <c r="G51" s="18">
        <f>$B$48-G48</f>
        <v>326343.43903897546</v>
      </c>
    </row>
    <row r="52" spans="1:7" x14ac:dyDescent="0.25">
      <c r="A52" t="s">
        <v>36</v>
      </c>
      <c r="B52" s="22">
        <f t="shared" ref="B52:C52" si="23">B47/B46</f>
        <v>0.98620111327650395</v>
      </c>
      <c r="C52" s="22">
        <f t="shared" si="23"/>
        <v>1</v>
      </c>
      <c r="D52" s="22">
        <f>D47/D46</f>
        <v>0.9609509683943378</v>
      </c>
      <c r="E52" s="22">
        <f t="shared" ref="E52:G52" si="24">E47/E46</f>
        <v>0.91441581525310534</v>
      </c>
      <c r="F52" s="22">
        <f t="shared" si="24"/>
        <v>0.97121965152191803</v>
      </c>
      <c r="G52" s="22">
        <f t="shared" si="24"/>
        <v>0.86741889713153453</v>
      </c>
    </row>
    <row r="53" spans="1:7" x14ac:dyDescent="0.25">
      <c r="A53" t="s">
        <v>36</v>
      </c>
      <c r="B53" s="22"/>
      <c r="C53" s="5">
        <f t="shared" ref="C53:G53" si="25">C50-C50</f>
        <v>0</v>
      </c>
      <c r="D53" s="5">
        <f t="shared" si="25"/>
        <v>0</v>
      </c>
      <c r="E53" s="5">
        <f t="shared" si="25"/>
        <v>0</v>
      </c>
      <c r="F53" s="5">
        <f t="shared" si="25"/>
        <v>0</v>
      </c>
      <c r="G53" s="5">
        <f t="shared" si="25"/>
        <v>0</v>
      </c>
    </row>
    <row r="54" spans="1:7" x14ac:dyDescent="0.25">
      <c r="A54" t="s">
        <v>36</v>
      </c>
      <c r="B54" s="22">
        <f>B47/B48</f>
        <v>1.0141905132944939</v>
      </c>
      <c r="C54" s="22">
        <f t="shared" ref="C54:G54" si="26">C47/C48</f>
        <v>1</v>
      </c>
      <c r="D54" s="22">
        <f>D47/D48</f>
        <v>1.0427019746931514</v>
      </c>
      <c r="E54" s="22">
        <f>E47/E48</f>
        <v>1.1059923444171134</v>
      </c>
      <c r="F54" s="22">
        <f t="shared" si="26"/>
        <v>1.0106507219092864</v>
      </c>
      <c r="G54" s="22">
        <f t="shared" si="26"/>
        <v>1.0570320124599728</v>
      </c>
    </row>
    <row r="55" spans="1:7" x14ac:dyDescent="0.25">
      <c r="A55" t="s">
        <v>37</v>
      </c>
      <c r="B55" s="22">
        <f>B46-B47</f>
        <v>10665.60321595578</v>
      </c>
      <c r="C55" s="22">
        <f t="shared" ref="C55" si="27">C46-C47</f>
        <v>0</v>
      </c>
      <c r="D55" s="22">
        <f>D47-D46</f>
        <v>-26979.200439750799</v>
      </c>
      <c r="E55" s="22">
        <f t="shared" ref="E55:G55" si="28">E47-E46</f>
        <v>-50733.069084496936</v>
      </c>
      <c r="F55" s="22">
        <f t="shared" si="28"/>
        <v>-17551.17210666975</v>
      </c>
      <c r="G55" s="22">
        <f t="shared" si="28"/>
        <v>-68705.717152044817</v>
      </c>
    </row>
    <row r="56" spans="1:7" x14ac:dyDescent="0.25">
      <c r="A56" t="s">
        <v>37</v>
      </c>
      <c r="B56" s="22"/>
      <c r="C56" s="22"/>
      <c r="D56" s="22"/>
      <c r="E56" s="22"/>
      <c r="F56" s="22"/>
      <c r="G56" s="22"/>
    </row>
    <row r="57" spans="1:7" x14ac:dyDescent="0.25">
      <c r="A57" t="s">
        <v>37</v>
      </c>
      <c r="B57" s="22">
        <f>B47-B48</f>
        <v>10665.60321595578</v>
      </c>
      <c r="C57" s="22">
        <f t="shared" ref="C57" si="29">C47-C48</f>
        <v>0</v>
      </c>
      <c r="D57" s="22">
        <f>D47-D48</f>
        <v>27189.911762250238</v>
      </c>
      <c r="E57" s="22">
        <f t="shared" ref="E57:G57" si="30">E47-E48</f>
        <v>51947.38901192206</v>
      </c>
      <c r="F57" s="22">
        <f t="shared" si="30"/>
        <v>6241.7373949241592</v>
      </c>
      <c r="G57" s="22">
        <f t="shared" si="30"/>
        <v>24253.291434044193</v>
      </c>
    </row>
    <row r="58" spans="1:7" x14ac:dyDescent="0.25">
      <c r="B58" s="22"/>
      <c r="C58" s="22"/>
      <c r="D58" s="22">
        <f>1-D52</f>
        <v>3.9049031605662199E-2</v>
      </c>
      <c r="E58" s="22"/>
      <c r="F58" s="22"/>
      <c r="G58" s="22"/>
    </row>
    <row r="59" spans="1:7" x14ac:dyDescent="0.25">
      <c r="B59" s="22"/>
      <c r="C59" s="22"/>
      <c r="D59" s="22">
        <f>D47-D57</f>
        <v>636736.63706730295</v>
      </c>
      <c r="E59" s="22"/>
      <c r="F59" s="22"/>
      <c r="G59" s="22"/>
    </row>
    <row r="60" spans="1:7" x14ac:dyDescent="0.25">
      <c r="B60" s="5"/>
    </row>
    <row r="61" spans="1:7" x14ac:dyDescent="0.25">
      <c r="A61" t="s">
        <v>38</v>
      </c>
      <c r="B61" t="s">
        <v>39</v>
      </c>
      <c r="C61" t="s">
        <v>40</v>
      </c>
      <c r="D61" t="s">
        <v>41</v>
      </c>
      <c r="G61" t="s">
        <v>42</v>
      </c>
    </row>
    <row r="62" spans="1:7" x14ac:dyDescent="0.25">
      <c r="A62">
        <v>8759.0040000000008</v>
      </c>
      <c r="B62">
        <v>730574.27274537995</v>
      </c>
      <c r="C62">
        <v>42357.879657532103</v>
      </c>
      <c r="D62">
        <v>772932.15240291203</v>
      </c>
      <c r="F62">
        <v>8759.0040000000008</v>
      </c>
      <c r="G62">
        <v>126152.79602263799</v>
      </c>
    </row>
    <row r="63" spans="1:7" x14ac:dyDescent="0.25">
      <c r="B63" s="5">
        <f>B46-D46</f>
        <v>82026.403133608052</v>
      </c>
      <c r="C63" s="7">
        <f>B63-B64</f>
        <v>-16313.597223795019</v>
      </c>
    </row>
    <row r="64" spans="1:7" x14ac:dyDescent="0.25">
      <c r="B64" s="5">
        <f>B47-D47</f>
        <v>98340.000357403071</v>
      </c>
      <c r="C64" s="7">
        <f>B64-B65</f>
        <v>-16524.308546294458</v>
      </c>
    </row>
    <row r="65" spans="1:17" x14ac:dyDescent="0.25">
      <c r="B65" s="5">
        <f>B48-D48</f>
        <v>114864.30890369753</v>
      </c>
    </row>
    <row r="66" spans="1:17" x14ac:dyDescent="0.25">
      <c r="A66" t="s">
        <v>43</v>
      </c>
      <c r="B66" s="5"/>
    </row>
    <row r="67" spans="1:17" x14ac:dyDescent="0.25">
      <c r="B67" s="5"/>
    </row>
    <row r="68" spans="1:17" x14ac:dyDescent="0.25">
      <c r="B68" s="5"/>
    </row>
    <row r="69" spans="1:17" x14ac:dyDescent="0.25">
      <c r="A69" t="s">
        <v>44</v>
      </c>
      <c r="B69" s="5"/>
    </row>
    <row r="71" spans="1:17" x14ac:dyDescent="0.25">
      <c r="P71">
        <v>8859.0059999999994</v>
      </c>
      <c r="Q71">
        <v>126686.636979118</v>
      </c>
    </row>
    <row r="72" spans="1:17" x14ac:dyDescent="0.25">
      <c r="A72" t="s">
        <v>45</v>
      </c>
      <c r="B72" s="5"/>
    </row>
    <row r="73" spans="1:17" x14ac:dyDescent="0.25">
      <c r="B73" t="s">
        <v>46</v>
      </c>
      <c r="C73" t="s">
        <v>47</v>
      </c>
      <c r="D73" t="s">
        <v>48</v>
      </c>
      <c r="E73" t="s">
        <v>49</v>
      </c>
      <c r="F73" t="s">
        <v>50</v>
      </c>
      <c r="I73" t="s">
        <v>51</v>
      </c>
      <c r="J73" t="s">
        <v>40</v>
      </c>
      <c r="K73" t="s">
        <v>41</v>
      </c>
      <c r="N73" t="s">
        <v>52</v>
      </c>
      <c r="Q73" t="s">
        <v>42</v>
      </c>
    </row>
    <row r="74" spans="1:17" x14ac:dyDescent="0.25">
      <c r="A74">
        <v>8759.0059999999994</v>
      </c>
      <c r="B74">
        <v>147695.97301973801</v>
      </c>
      <c r="C74">
        <v>307384.01287025999</v>
      </c>
      <c r="D74">
        <v>455079.98588999797</v>
      </c>
      <c r="E74">
        <v>307496.46767270798</v>
      </c>
      <c r="F74">
        <v>19.1552087239257</v>
      </c>
      <c r="H74">
        <v>8759.0059999999994</v>
      </c>
      <c r="I74">
        <v>594378.75713579799</v>
      </c>
      <c r="J74">
        <v>42357.879931504802</v>
      </c>
      <c r="K74">
        <v>636736.63706730295</v>
      </c>
      <c r="M74">
        <v>8759.0059999999994</v>
      </c>
      <c r="N74">
        <v>82408.203124968102</v>
      </c>
      <c r="P74">
        <v>8759.0059999999994</v>
      </c>
      <c r="Q74">
        <v>110661.742834968</v>
      </c>
    </row>
    <row r="75" spans="1:17" x14ac:dyDescent="0.25">
      <c r="A75" t="s">
        <v>53</v>
      </c>
      <c r="B75" s="5"/>
    </row>
    <row r="76" spans="1:17" x14ac:dyDescent="0.25">
      <c r="B76" t="s">
        <v>46</v>
      </c>
      <c r="C76" t="s">
        <v>47</v>
      </c>
      <c r="D76" t="s">
        <v>48</v>
      </c>
      <c r="E76" t="s">
        <v>49</v>
      </c>
      <c r="F76" t="s">
        <v>50</v>
      </c>
      <c r="I76" t="s">
        <v>51</v>
      </c>
      <c r="J76" t="s">
        <v>40</v>
      </c>
      <c r="K76" t="s">
        <v>41</v>
      </c>
      <c r="N76" t="s">
        <v>52</v>
      </c>
      <c r="Q76" t="s">
        <v>42</v>
      </c>
    </row>
    <row r="77" spans="1:17" x14ac:dyDescent="0.25">
      <c r="A77">
        <v>8759.0059999999994</v>
      </c>
      <c r="B77">
        <v>98463.981679825694</v>
      </c>
      <c r="C77">
        <v>356616.00421017298</v>
      </c>
      <c r="D77">
        <v>455079.98588999797</v>
      </c>
      <c r="E77">
        <v>356734.44273686898</v>
      </c>
      <c r="F77">
        <v>55403.9516732509</v>
      </c>
      <c r="H77">
        <v>8759.0059999999994</v>
      </c>
      <c r="I77">
        <v>648547.86933779996</v>
      </c>
      <c r="J77">
        <v>42357.879931504802</v>
      </c>
      <c r="K77">
        <v>690905.74926930398</v>
      </c>
      <c r="M77">
        <v>8759.0059999999994</v>
      </c>
      <c r="N77">
        <v>54679.593435261602</v>
      </c>
      <c r="P77">
        <v>8759.0059999999994</v>
      </c>
      <c r="Q77">
        <v>126191.784800607</v>
      </c>
    </row>
    <row r="78" spans="1:17" x14ac:dyDescent="0.25">
      <c r="A78" t="s">
        <v>54</v>
      </c>
    </row>
    <row r="79" spans="1:17" x14ac:dyDescent="0.25">
      <c r="B79" t="s">
        <v>46</v>
      </c>
      <c r="C79" t="s">
        <v>47</v>
      </c>
      <c r="D79" t="s">
        <v>48</v>
      </c>
      <c r="E79" t="s">
        <v>49</v>
      </c>
      <c r="F79" t="s">
        <v>50</v>
      </c>
      <c r="I79" t="s">
        <v>51</v>
      </c>
      <c r="J79" t="s">
        <v>40</v>
      </c>
      <c r="K79" t="s">
        <v>41</v>
      </c>
      <c r="N79" t="s">
        <v>52</v>
      </c>
      <c r="Q79" t="s">
        <v>42</v>
      </c>
    </row>
    <row r="80" spans="1:17" x14ac:dyDescent="0.25">
      <c r="A80">
        <v>8759.0059999999994</v>
      </c>
      <c r="B80">
        <v>638567.88411475101</v>
      </c>
      <c r="C80">
        <v>-183487.89822475001</v>
      </c>
      <c r="D80">
        <v>455079.98588999797</v>
      </c>
      <c r="E80">
        <v>-183435.97778891699</v>
      </c>
      <c r="F80">
        <v>-0.251975430812166</v>
      </c>
      <c r="H80">
        <v>8759.0059999999994</v>
      </c>
      <c r="I80">
        <v>306969.56473837799</v>
      </c>
      <c r="J80">
        <v>183135.53952738599</v>
      </c>
      <c r="K80">
        <v>490105.10426576401</v>
      </c>
      <c r="M80">
        <v>8759.0059999999994</v>
      </c>
      <c r="N80">
        <v>183496.52216813</v>
      </c>
      <c r="P80">
        <v>8759.0059999999994</v>
      </c>
      <c r="Q80">
        <v>-44178.380210073497</v>
      </c>
    </row>
    <row r="81" spans="1:19" x14ac:dyDescent="0.25">
      <c r="A81" t="s">
        <v>55</v>
      </c>
    </row>
    <row r="82" spans="1:19" x14ac:dyDescent="0.25">
      <c r="B82" t="s">
        <v>46</v>
      </c>
      <c r="C82" t="s">
        <v>47</v>
      </c>
      <c r="D82" t="s">
        <v>48</v>
      </c>
      <c r="E82" t="s">
        <v>49</v>
      </c>
      <c r="F82" t="s">
        <v>50</v>
      </c>
      <c r="I82" t="s">
        <v>51</v>
      </c>
      <c r="J82" t="s">
        <v>40</v>
      </c>
      <c r="K82" t="s">
        <v>41</v>
      </c>
      <c r="N82" t="s">
        <v>52</v>
      </c>
      <c r="Q82" t="s">
        <v>42</v>
      </c>
    </row>
    <row r="83" spans="1:19" x14ac:dyDescent="0.25">
      <c r="A83">
        <v>8759.0059999999994</v>
      </c>
      <c r="B83">
        <v>425711.92240983399</v>
      </c>
      <c r="C83">
        <v>29368.063480166002</v>
      </c>
      <c r="D83">
        <v>455079.98588999797</v>
      </c>
      <c r="E83">
        <v>29420.095585381699</v>
      </c>
      <c r="F83">
        <v>-7.9973719347492395E-2</v>
      </c>
      <c r="H83">
        <v>8759.0059999999994</v>
      </c>
      <c r="I83">
        <v>409650.021834796</v>
      </c>
      <c r="J83">
        <v>183135.53952738599</v>
      </c>
      <c r="K83">
        <v>592785.562362183</v>
      </c>
      <c r="M83">
        <v>8759.0059999999994</v>
      </c>
      <c r="N83">
        <v>113238.98737856701</v>
      </c>
      <c r="P83">
        <v>8759.0059999999994</v>
      </c>
      <c r="Q83">
        <v>22955.7711489088</v>
      </c>
    </row>
    <row r="84" spans="1:19" x14ac:dyDescent="0.25">
      <c r="A84" t="s">
        <v>56</v>
      </c>
    </row>
    <row r="85" spans="1:19" x14ac:dyDescent="0.25">
      <c r="B85" t="s">
        <v>57</v>
      </c>
      <c r="C85" t="s">
        <v>58</v>
      </c>
      <c r="D85" t="s">
        <v>59</v>
      </c>
      <c r="E85" t="s">
        <v>60</v>
      </c>
      <c r="H85" t="s">
        <v>39</v>
      </c>
      <c r="I85" t="s">
        <v>40</v>
      </c>
      <c r="J85" t="s">
        <v>41</v>
      </c>
      <c r="K85" t="s">
        <v>61</v>
      </c>
      <c r="N85" t="s">
        <v>62</v>
      </c>
      <c r="O85" t="s">
        <v>63</v>
      </c>
      <c r="P85" t="s">
        <v>64</v>
      </c>
    </row>
    <row r="86" spans="1:19" x14ac:dyDescent="0.25">
      <c r="A86">
        <v>8759.0059999999994</v>
      </c>
      <c r="B86">
        <v>0</v>
      </c>
      <c r="C86">
        <v>0.552499999999987</v>
      </c>
      <c r="D86">
        <v>59.779999999999902</v>
      </c>
      <c r="E86">
        <v>59.200499999999998</v>
      </c>
      <c r="G86">
        <v>8759.0059999999994</v>
      </c>
      <c r="H86">
        <v>424801.433299153</v>
      </c>
      <c r="I86">
        <v>42357.879931504802</v>
      </c>
      <c r="J86">
        <v>609831.81353888195</v>
      </c>
      <c r="K86">
        <v>142672.50030822301</v>
      </c>
      <c r="M86">
        <v>8759.0059999999994</v>
      </c>
      <c r="N86">
        <v>6648.6361595702701</v>
      </c>
      <c r="O86">
        <v>26281.0184827825</v>
      </c>
      <c r="P86">
        <v>39421.5277241738</v>
      </c>
    </row>
    <row r="87" spans="1:19" x14ac:dyDescent="0.25">
      <c r="A87" t="s">
        <v>65</v>
      </c>
    </row>
    <row r="88" spans="1:19" x14ac:dyDescent="0.25">
      <c r="B88" t="s">
        <v>57</v>
      </c>
      <c r="C88" t="s">
        <v>58</v>
      </c>
      <c r="D88" t="s">
        <v>59</v>
      </c>
      <c r="E88" t="s">
        <v>60</v>
      </c>
      <c r="H88" t="s">
        <v>62</v>
      </c>
      <c r="I88" t="s">
        <v>63</v>
      </c>
      <c r="J88" t="s">
        <v>64</v>
      </c>
      <c r="M88" t="s">
        <v>39</v>
      </c>
      <c r="N88" t="s">
        <v>40</v>
      </c>
      <c r="O88" t="s">
        <v>41</v>
      </c>
      <c r="P88" t="s">
        <v>61</v>
      </c>
      <c r="S88" t="s">
        <v>42</v>
      </c>
    </row>
    <row r="89" spans="1:19" x14ac:dyDescent="0.25">
      <c r="A89">
        <v>8759.0059999999994</v>
      </c>
      <c r="B89">
        <v>0</v>
      </c>
      <c r="C89">
        <v>0.552499999999987</v>
      </c>
      <c r="D89">
        <v>59.779999999999902</v>
      </c>
      <c r="E89">
        <v>59.200499999999998</v>
      </c>
      <c r="G89">
        <v>8759.0059999999994</v>
      </c>
      <c r="H89">
        <v>6859.7329324311204</v>
      </c>
      <c r="I89">
        <v>43256.398760798002</v>
      </c>
      <c r="J89">
        <v>64884.598141197101</v>
      </c>
      <c r="L89">
        <v>8759.0059999999994</v>
      </c>
      <c r="M89">
        <v>401008.52379755903</v>
      </c>
      <c r="N89">
        <v>42357.879931504802</v>
      </c>
      <c r="O89">
        <v>586038.90403728804</v>
      </c>
      <c r="P89">
        <v>142672.50030822301</v>
      </c>
      <c r="R89">
        <v>8759.0059999999994</v>
      </c>
      <c r="S89">
        <v>56392.181572631198</v>
      </c>
    </row>
    <row r="90" spans="1:19" x14ac:dyDescent="0.25">
      <c r="A90" t="s">
        <v>66</v>
      </c>
    </row>
    <row r="91" spans="1:19" x14ac:dyDescent="0.25">
      <c r="B91" t="s">
        <v>57</v>
      </c>
      <c r="C91" t="s">
        <v>58</v>
      </c>
      <c r="D91" t="s">
        <v>59</v>
      </c>
      <c r="E91" t="s">
        <v>60</v>
      </c>
      <c r="H91" t="s">
        <v>39</v>
      </c>
      <c r="I91" t="s">
        <v>40</v>
      </c>
      <c r="J91" t="s">
        <v>41</v>
      </c>
      <c r="K91" t="s">
        <v>61</v>
      </c>
      <c r="N91" t="s">
        <v>62</v>
      </c>
      <c r="O91" t="s">
        <v>63</v>
      </c>
      <c r="P91" t="s">
        <v>64</v>
      </c>
      <c r="S91" t="s">
        <v>42</v>
      </c>
    </row>
    <row r="92" spans="1:19" x14ac:dyDescent="0.25">
      <c r="A92">
        <v>8759.0059999999994</v>
      </c>
      <c r="B92">
        <v>0</v>
      </c>
      <c r="C92">
        <v>0.552499999999987</v>
      </c>
      <c r="D92">
        <v>59.779999999999902</v>
      </c>
      <c r="E92">
        <v>59.200499999999998</v>
      </c>
      <c r="G92">
        <v>8759.0059999999994</v>
      </c>
      <c r="H92">
        <v>99449.467096415203</v>
      </c>
      <c r="I92">
        <v>183135.53952738599</v>
      </c>
      <c r="J92">
        <v>425257.50693202502</v>
      </c>
      <c r="K92">
        <v>142672.50030822301</v>
      </c>
      <c r="M92">
        <v>8759.0059999999994</v>
      </c>
      <c r="N92">
        <v>24379.6027459135</v>
      </c>
      <c r="O92">
        <v>192550.434520949</v>
      </c>
      <c r="P92">
        <v>288825.65178142302</v>
      </c>
      <c r="R92">
        <v>8759.0059999999994</v>
      </c>
      <c r="S92">
        <v>-110872.670494103</v>
      </c>
    </row>
    <row r="93" spans="1:19" x14ac:dyDescent="0.25">
      <c r="A93" t="s">
        <v>67</v>
      </c>
    </row>
    <row r="94" spans="1:19" x14ac:dyDescent="0.25">
      <c r="B94" t="s">
        <v>57</v>
      </c>
      <c r="C94" t="s">
        <v>58</v>
      </c>
      <c r="D94" t="s">
        <v>59</v>
      </c>
      <c r="E94" t="s">
        <v>60</v>
      </c>
      <c r="H94" t="s">
        <v>39</v>
      </c>
      <c r="I94" t="s">
        <v>40</v>
      </c>
      <c r="J94" t="s">
        <v>41</v>
      </c>
      <c r="K94" t="s">
        <v>61</v>
      </c>
      <c r="N94" t="s">
        <v>62</v>
      </c>
      <c r="O94" t="s">
        <v>63</v>
      </c>
      <c r="P94" t="s">
        <v>64</v>
      </c>
      <c r="S94" t="s">
        <v>42</v>
      </c>
    </row>
    <row r="95" spans="1:19" x14ac:dyDescent="0.25">
      <c r="A95">
        <v>8759.0059999999994</v>
      </c>
      <c r="B95">
        <v>0</v>
      </c>
      <c r="C95">
        <v>0.552499999999987</v>
      </c>
      <c r="D95">
        <v>59.779999999999902</v>
      </c>
      <c r="E95">
        <v>59.200499999999998</v>
      </c>
      <c r="G95">
        <v>8759.0059999999994</v>
      </c>
      <c r="H95">
        <v>192408.47568250401</v>
      </c>
      <c r="I95">
        <v>183135.53952738599</v>
      </c>
      <c r="J95">
        <v>518216.51551811403</v>
      </c>
      <c r="K95">
        <v>142672.50030822301</v>
      </c>
      <c r="M95">
        <v>8759.0059999999994</v>
      </c>
      <c r="N95">
        <v>21219.090197944301</v>
      </c>
      <c r="O95">
        <v>118477.402669303</v>
      </c>
      <c r="P95">
        <v>177716.104003955</v>
      </c>
      <c r="R95">
        <v>8759.0059999999994</v>
      </c>
      <c r="S95">
        <v>-41638.705955760997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FB98-42DB-49BA-A3D8-EE9F8A212300}">
  <dimension ref="B2:AE139"/>
  <sheetViews>
    <sheetView workbookViewId="0">
      <selection activeCell="O6" sqref="O6"/>
    </sheetView>
  </sheetViews>
  <sheetFormatPr defaultRowHeight="15" x14ac:dyDescent="0.25"/>
  <cols>
    <col min="7" max="7" width="20.5703125" customWidth="1"/>
    <col min="8" max="8" width="21" customWidth="1"/>
    <col min="10" max="10" width="16.85546875" customWidth="1"/>
    <col min="13" max="13" width="28.140625" customWidth="1"/>
    <col min="26" max="26" width="12.140625" customWidth="1"/>
    <col min="27" max="27" width="11.85546875" bestFit="1" customWidth="1"/>
  </cols>
  <sheetData>
    <row r="2" spans="2:31" x14ac:dyDescent="0.25">
      <c r="C2" t="s">
        <v>64</v>
      </c>
      <c r="G2" t="s">
        <v>39</v>
      </c>
      <c r="H2" t="s">
        <v>40</v>
      </c>
      <c r="I2" t="s">
        <v>41</v>
      </c>
      <c r="M2" t="s">
        <v>42</v>
      </c>
      <c r="O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</row>
    <row r="3" spans="2:31" x14ac:dyDescent="0.25">
      <c r="B3">
        <v>8684.0040000000008</v>
      </c>
      <c r="C3">
        <v>48056.249241085599</v>
      </c>
      <c r="F3">
        <v>8684.0040000000008</v>
      </c>
      <c r="G3">
        <v>712409.84326915001</v>
      </c>
      <c r="H3">
        <v>41995.226917806198</v>
      </c>
      <c r="I3">
        <v>754405.07018695702</v>
      </c>
      <c r="L3">
        <v>8684.0040000000008</v>
      </c>
      <c r="M3">
        <v>117183.977593394</v>
      </c>
      <c r="O3" t="s">
        <v>74</v>
      </c>
      <c r="Z3" t="s">
        <v>75</v>
      </c>
      <c r="AA3" s="1">
        <v>6016.7430000000004</v>
      </c>
      <c r="AB3" s="1">
        <v>3220.9659999999999</v>
      </c>
      <c r="AC3">
        <v>-139.82300000000001</v>
      </c>
      <c r="AD3" s="1">
        <v>2914.877</v>
      </c>
      <c r="AE3" s="1">
        <v>7324.43</v>
      </c>
    </row>
    <row r="4" spans="2:31" x14ac:dyDescent="0.25">
      <c r="B4">
        <v>8685.0040000000008</v>
      </c>
      <c r="C4">
        <v>48056.249241085599</v>
      </c>
      <c r="F4">
        <v>8685.0040000000008</v>
      </c>
      <c r="G4">
        <v>712491.49626915099</v>
      </c>
      <c r="H4">
        <v>42000.061917806197</v>
      </c>
      <c r="I4">
        <v>754491.55818695703</v>
      </c>
      <c r="L4">
        <v>8685.0040000000008</v>
      </c>
      <c r="M4">
        <v>117197.644593394</v>
      </c>
      <c r="O4" t="s">
        <v>76</v>
      </c>
      <c r="Z4" t="s">
        <v>77</v>
      </c>
      <c r="AA4" s="1">
        <v>2814.3069999999998</v>
      </c>
      <c r="AB4" s="1">
        <v>1359.271</v>
      </c>
      <c r="AC4">
        <v>-2.3260000000000001</v>
      </c>
      <c r="AD4" s="1">
        <v>1249.2329999999999</v>
      </c>
      <c r="AE4" s="1">
        <v>3219.89</v>
      </c>
    </row>
    <row r="5" spans="2:31" x14ac:dyDescent="0.25">
      <c r="B5">
        <v>8686.0040000000008</v>
      </c>
      <c r="C5">
        <v>48056.249241085599</v>
      </c>
      <c r="F5">
        <v>8686.0040000000008</v>
      </c>
      <c r="G5">
        <v>712558.36926914996</v>
      </c>
      <c r="H5">
        <v>42004.8979178062</v>
      </c>
      <c r="I5">
        <v>754563.26718695695</v>
      </c>
      <c r="L5">
        <v>8686.0040000000008</v>
      </c>
      <c r="M5">
        <v>117209.18459339401</v>
      </c>
      <c r="O5" t="s">
        <v>78</v>
      </c>
      <c r="Z5" t="s">
        <v>79</v>
      </c>
      <c r="AA5" s="1">
        <v>4044.0909999999999</v>
      </c>
      <c r="AB5" s="1">
        <v>1886.3309999999999</v>
      </c>
      <c r="AC5">
        <v>32.271000000000001</v>
      </c>
      <c r="AD5" s="1">
        <v>1665.644</v>
      </c>
    </row>
    <row r="6" spans="2:31" x14ac:dyDescent="0.25">
      <c r="B6">
        <v>8687.0040000000008</v>
      </c>
      <c r="C6">
        <v>48056.249241085599</v>
      </c>
      <c r="F6">
        <v>8687.0040000000008</v>
      </c>
      <c r="G6">
        <v>712611.09626915096</v>
      </c>
      <c r="H6">
        <v>42009.732917806199</v>
      </c>
      <c r="I6">
        <v>754620.82918695698</v>
      </c>
      <c r="L6">
        <v>8687.0040000000008</v>
      </c>
      <c r="M6">
        <v>117221.356593394</v>
      </c>
      <c r="O6" t="s">
        <v>80</v>
      </c>
      <c r="Z6" t="s">
        <v>81</v>
      </c>
    </row>
    <row r="7" spans="2:31" x14ac:dyDescent="0.25">
      <c r="B7">
        <v>8688.0040000000008</v>
      </c>
      <c r="C7">
        <v>48056.249241085599</v>
      </c>
      <c r="F7">
        <v>8688.0040000000008</v>
      </c>
      <c r="G7">
        <v>712659.57126915001</v>
      </c>
      <c r="H7">
        <v>42014.567917806198</v>
      </c>
      <c r="I7">
        <v>754674.13918695704</v>
      </c>
      <c r="L7">
        <v>8688.0040000000008</v>
      </c>
      <c r="M7">
        <v>117234.532593394</v>
      </c>
      <c r="O7" t="s">
        <v>82</v>
      </c>
      <c r="Z7" t="s">
        <v>83</v>
      </c>
    </row>
    <row r="8" spans="2:31" x14ac:dyDescent="0.25">
      <c r="B8">
        <v>8689.0040000000008</v>
      </c>
      <c r="C8">
        <v>48056.249241085599</v>
      </c>
      <c r="F8">
        <v>8689.0040000000008</v>
      </c>
      <c r="G8">
        <v>712701.84126915096</v>
      </c>
      <c r="H8">
        <v>42019.403917806201</v>
      </c>
      <c r="I8">
        <v>754721.24518695695</v>
      </c>
      <c r="L8">
        <v>8689.0040000000008</v>
      </c>
      <c r="M8">
        <v>117246.48059339399</v>
      </c>
      <c r="O8" t="s">
        <v>84</v>
      </c>
      <c r="Z8" t="s">
        <v>85</v>
      </c>
    </row>
    <row r="9" spans="2:31" x14ac:dyDescent="0.25">
      <c r="B9">
        <v>8690.0040000000008</v>
      </c>
      <c r="C9">
        <v>48056.249241085599</v>
      </c>
      <c r="F9">
        <v>8690.0040000000008</v>
      </c>
      <c r="G9">
        <v>712740.14826915099</v>
      </c>
      <c r="H9">
        <v>42024.2389178062</v>
      </c>
      <c r="I9">
        <v>754764.38718695706</v>
      </c>
      <c r="L9">
        <v>8690.0040000000008</v>
      </c>
      <c r="M9">
        <v>117257.462593394</v>
      </c>
      <c r="O9" t="s">
        <v>86</v>
      </c>
      <c r="Z9" t="s">
        <v>87</v>
      </c>
    </row>
    <row r="10" spans="2:31" x14ac:dyDescent="0.25">
      <c r="B10">
        <v>8691.0040000000008</v>
      </c>
      <c r="C10">
        <v>48056.249241085599</v>
      </c>
      <c r="F10">
        <v>8691.0040000000008</v>
      </c>
      <c r="G10">
        <v>712777.22626915097</v>
      </c>
      <c r="H10">
        <v>42029.074917806203</v>
      </c>
      <c r="I10">
        <v>754806.30118695705</v>
      </c>
      <c r="L10">
        <v>8691.0040000000008</v>
      </c>
      <c r="M10">
        <v>117269.614593394</v>
      </c>
      <c r="O10" t="s">
        <v>88</v>
      </c>
      <c r="Z10" t="s">
        <v>89</v>
      </c>
    </row>
    <row r="11" spans="2:31" x14ac:dyDescent="0.25">
      <c r="B11">
        <v>8692.0040000000008</v>
      </c>
      <c r="C11">
        <v>48056.249241085599</v>
      </c>
      <c r="F11">
        <v>8692.0040000000008</v>
      </c>
      <c r="G11">
        <v>712814.23626915098</v>
      </c>
      <c r="H11">
        <v>42033.909917806202</v>
      </c>
      <c r="I11">
        <v>754848.14618695702</v>
      </c>
      <c r="L11">
        <v>8692.0040000000008</v>
      </c>
      <c r="M11">
        <v>117282.640593394</v>
      </c>
      <c r="O11" t="s">
        <v>90</v>
      </c>
      <c r="Z11" t="s">
        <v>91</v>
      </c>
    </row>
    <row r="12" spans="2:31" x14ac:dyDescent="0.25">
      <c r="B12">
        <v>8693.0040000000008</v>
      </c>
      <c r="C12">
        <v>48056.249241085599</v>
      </c>
      <c r="F12">
        <v>8693.0040000000008</v>
      </c>
      <c r="G12">
        <v>712856.30526915099</v>
      </c>
      <c r="H12">
        <v>42038.744917806202</v>
      </c>
      <c r="I12">
        <v>754895.050186957</v>
      </c>
      <c r="L12">
        <v>8693.0040000000008</v>
      </c>
      <c r="M12">
        <v>117297.14359339399</v>
      </c>
      <c r="O12" t="s">
        <v>92</v>
      </c>
      <c r="Z12" t="s">
        <v>93</v>
      </c>
    </row>
    <row r="13" spans="2:31" x14ac:dyDescent="0.25">
      <c r="B13">
        <v>8694.0040000000008</v>
      </c>
      <c r="C13">
        <v>48056.249241085599</v>
      </c>
      <c r="F13">
        <v>8694.0040000000008</v>
      </c>
      <c r="G13">
        <v>712913.44726915099</v>
      </c>
      <c r="H13">
        <v>42043.580917806197</v>
      </c>
      <c r="I13">
        <v>754957.028186957</v>
      </c>
      <c r="L13">
        <v>8694.0040000000008</v>
      </c>
      <c r="M13">
        <v>117318.629593394</v>
      </c>
      <c r="O13" t="s">
        <v>94</v>
      </c>
      <c r="Z13" t="s">
        <v>95</v>
      </c>
    </row>
    <row r="14" spans="2:31" x14ac:dyDescent="0.25">
      <c r="B14">
        <v>8695.0040000000008</v>
      </c>
      <c r="C14">
        <v>48056.249241085599</v>
      </c>
      <c r="F14">
        <v>8695.0040000000008</v>
      </c>
      <c r="G14">
        <v>712985.61926914996</v>
      </c>
      <c r="H14">
        <v>42048.415917806196</v>
      </c>
      <c r="I14">
        <v>755034.03518695699</v>
      </c>
      <c r="L14">
        <v>8695.0040000000008</v>
      </c>
      <c r="M14">
        <v>117347.630593394</v>
      </c>
      <c r="O14" t="s">
        <v>96</v>
      </c>
      <c r="Z14" t="s">
        <v>97</v>
      </c>
    </row>
    <row r="15" spans="2:31" x14ac:dyDescent="0.25">
      <c r="B15">
        <v>8696.0040000000008</v>
      </c>
      <c r="C15">
        <v>48056.249241085599</v>
      </c>
      <c r="F15">
        <v>8696.0040000000008</v>
      </c>
      <c r="G15">
        <v>713069.23326915095</v>
      </c>
      <c r="H15">
        <v>42053.250917806203</v>
      </c>
      <c r="I15">
        <v>755122.48418695701</v>
      </c>
      <c r="L15">
        <v>8696.0040000000008</v>
      </c>
      <c r="M15">
        <v>117380.967593394</v>
      </c>
      <c r="O15" t="s">
        <v>98</v>
      </c>
      <c r="Z15" t="s">
        <v>99</v>
      </c>
    </row>
    <row r="16" spans="2:31" x14ac:dyDescent="0.25">
      <c r="B16">
        <v>8697.0040000000008</v>
      </c>
      <c r="C16">
        <v>48056.3023600573</v>
      </c>
      <c r="F16">
        <v>8697.0040000000008</v>
      </c>
      <c r="G16">
        <v>713176.74526915001</v>
      </c>
      <c r="H16">
        <v>42058.086917806198</v>
      </c>
      <c r="I16">
        <v>755234.83218695701</v>
      </c>
      <c r="L16">
        <v>8697.0040000000008</v>
      </c>
      <c r="M16">
        <v>117420.630593394</v>
      </c>
      <c r="O16" t="s">
        <v>100</v>
      </c>
      <c r="Z16" t="s">
        <v>101</v>
      </c>
    </row>
    <row r="17" spans="2:26" x14ac:dyDescent="0.25">
      <c r="B17">
        <v>8698.0040000000008</v>
      </c>
      <c r="C17">
        <v>48058.196869378902</v>
      </c>
      <c r="F17">
        <v>8698.0040000000008</v>
      </c>
      <c r="G17">
        <v>713283.16926915001</v>
      </c>
      <c r="H17">
        <v>42062.921917806198</v>
      </c>
      <c r="I17">
        <v>755346.09118695697</v>
      </c>
      <c r="L17">
        <v>8698.0040000000008</v>
      </c>
      <c r="M17">
        <v>117456.661593394</v>
      </c>
      <c r="O17" t="s">
        <v>102</v>
      </c>
      <c r="Z17" t="s">
        <v>103</v>
      </c>
    </row>
    <row r="18" spans="2:26" x14ac:dyDescent="0.25">
      <c r="B18">
        <v>8699.0040000000008</v>
      </c>
      <c r="C18">
        <v>48061.726700599102</v>
      </c>
      <c r="F18">
        <v>8699.0040000000008</v>
      </c>
      <c r="G18">
        <v>713376.63126914995</v>
      </c>
      <c r="H18">
        <v>42067.757917806201</v>
      </c>
      <c r="I18">
        <v>755444.38818695699</v>
      </c>
      <c r="L18">
        <v>8699.0040000000008</v>
      </c>
      <c r="M18">
        <v>117490.04459339401</v>
      </c>
      <c r="O18" t="s">
        <v>104</v>
      </c>
      <c r="Z18" t="s">
        <v>105</v>
      </c>
    </row>
    <row r="19" spans="2:26" x14ac:dyDescent="0.25">
      <c r="B19">
        <v>8700.0040000000008</v>
      </c>
      <c r="C19">
        <v>48064.7818484952</v>
      </c>
      <c r="F19">
        <v>8700.0040000000008</v>
      </c>
      <c r="G19">
        <v>713451.49726914999</v>
      </c>
      <c r="H19">
        <v>42072.5929178062</v>
      </c>
      <c r="I19">
        <v>755524.09018695704</v>
      </c>
      <c r="L19">
        <v>8700.0040000000008</v>
      </c>
      <c r="M19">
        <v>117516.13959339399</v>
      </c>
      <c r="O19" t="s">
        <v>106</v>
      </c>
      <c r="Z19" t="s">
        <v>107</v>
      </c>
    </row>
    <row r="20" spans="2:26" x14ac:dyDescent="0.25">
      <c r="B20">
        <v>8701.0040000000008</v>
      </c>
      <c r="C20">
        <v>48066.139256919101</v>
      </c>
      <c r="F20">
        <v>8701.0040000000008</v>
      </c>
      <c r="G20">
        <v>713526.23626915098</v>
      </c>
      <c r="H20">
        <v>42077.427917806199</v>
      </c>
      <c r="I20">
        <v>755603.66418695694</v>
      </c>
      <c r="L20">
        <v>8701.0040000000008</v>
      </c>
      <c r="M20">
        <v>117542.361593394</v>
      </c>
      <c r="O20" t="s">
        <v>108</v>
      </c>
      <c r="Z20" t="s">
        <v>109</v>
      </c>
    </row>
    <row r="21" spans="2:26" x14ac:dyDescent="0.25">
      <c r="B21">
        <v>8702.0040000000008</v>
      </c>
      <c r="C21">
        <v>48066.204507504299</v>
      </c>
      <c r="F21">
        <v>8702.0040000000008</v>
      </c>
      <c r="G21">
        <v>713606.00826915097</v>
      </c>
      <c r="H21">
        <v>42082.263917806202</v>
      </c>
      <c r="I21">
        <v>755688.27218695695</v>
      </c>
      <c r="L21">
        <v>8702.0040000000008</v>
      </c>
      <c r="M21">
        <v>117568.98759339401</v>
      </c>
      <c r="O21" t="s">
        <v>110</v>
      </c>
      <c r="Z21" t="s">
        <v>111</v>
      </c>
    </row>
    <row r="22" spans="2:26" x14ac:dyDescent="0.25">
      <c r="B22">
        <v>8703.0040000000008</v>
      </c>
      <c r="C22">
        <v>48066.204507504299</v>
      </c>
      <c r="F22">
        <v>8703.0040000000008</v>
      </c>
      <c r="G22">
        <v>713698.78326914995</v>
      </c>
      <c r="H22">
        <v>42087.098917806201</v>
      </c>
      <c r="I22">
        <v>755785.88218695705</v>
      </c>
      <c r="L22">
        <v>8703.0040000000008</v>
      </c>
      <c r="M22">
        <v>117595.299593394</v>
      </c>
      <c r="O22" t="s">
        <v>112</v>
      </c>
      <c r="Z22" t="s">
        <v>113</v>
      </c>
    </row>
    <row r="23" spans="2:26" x14ac:dyDescent="0.25">
      <c r="B23">
        <v>8704.0040000000008</v>
      </c>
      <c r="C23">
        <v>48066.204507504299</v>
      </c>
      <c r="F23">
        <v>8704.0040000000008</v>
      </c>
      <c r="G23">
        <v>713821.04726915096</v>
      </c>
      <c r="H23">
        <v>42091.9339178062</v>
      </c>
      <c r="I23">
        <v>755912.98218695703</v>
      </c>
      <c r="L23">
        <v>8704.0040000000008</v>
      </c>
      <c r="M23">
        <v>117624.66559339401</v>
      </c>
      <c r="O23" t="s">
        <v>114</v>
      </c>
      <c r="Z23" t="s">
        <v>115</v>
      </c>
    </row>
    <row r="24" spans="2:26" x14ac:dyDescent="0.25">
      <c r="B24">
        <v>8705.0040000000008</v>
      </c>
      <c r="C24">
        <v>48066.204507504299</v>
      </c>
      <c r="F24">
        <v>8705.0040000000008</v>
      </c>
      <c r="G24">
        <v>713975.40726915095</v>
      </c>
      <c r="H24">
        <v>42096.769917806203</v>
      </c>
      <c r="I24">
        <v>756072.17718695698</v>
      </c>
      <c r="L24">
        <v>8705.0040000000008</v>
      </c>
      <c r="M24">
        <v>117659.951593394</v>
      </c>
      <c r="Z24" t="s">
        <v>116</v>
      </c>
    </row>
    <row r="25" spans="2:26" x14ac:dyDescent="0.25">
      <c r="B25">
        <v>8706.0040000000008</v>
      </c>
      <c r="C25">
        <v>48066.204507504299</v>
      </c>
      <c r="F25">
        <v>8706.0040000000008</v>
      </c>
      <c r="G25">
        <v>714134.17026915099</v>
      </c>
      <c r="H25">
        <v>42101.604917806202</v>
      </c>
      <c r="I25">
        <v>756235.77518695698</v>
      </c>
      <c r="L25">
        <v>8706.0040000000008</v>
      </c>
      <c r="M25">
        <v>117690.958593394</v>
      </c>
      <c r="Z25" t="s">
        <v>117</v>
      </c>
    </row>
    <row r="26" spans="2:26" x14ac:dyDescent="0.25">
      <c r="B26">
        <v>8707.0040000000008</v>
      </c>
      <c r="C26">
        <v>48066.204507504299</v>
      </c>
      <c r="F26">
        <v>8707.0040000000008</v>
      </c>
      <c r="G26">
        <v>714252.00526915095</v>
      </c>
      <c r="H26">
        <v>42106.440917806198</v>
      </c>
      <c r="I26">
        <v>756358.44618695695</v>
      </c>
      <c r="L26">
        <v>8707.0040000000008</v>
      </c>
      <c r="M26">
        <v>117712.652593394</v>
      </c>
      <c r="Z26" t="s">
        <v>118</v>
      </c>
    </row>
    <row r="27" spans="2:26" x14ac:dyDescent="0.25">
      <c r="B27">
        <v>8708.0040000000008</v>
      </c>
      <c r="C27">
        <v>48066.204507504299</v>
      </c>
      <c r="F27">
        <v>8708.0040000000008</v>
      </c>
      <c r="G27">
        <v>714338.02726915095</v>
      </c>
      <c r="H27">
        <v>42111.275917806197</v>
      </c>
      <c r="I27">
        <v>756449.30318695703</v>
      </c>
      <c r="L27">
        <v>8708.0040000000008</v>
      </c>
      <c r="M27">
        <v>117729.611593394</v>
      </c>
      <c r="Z27" t="s">
        <v>119</v>
      </c>
    </row>
    <row r="28" spans="2:26" x14ac:dyDescent="0.25">
      <c r="B28">
        <v>8709.0040000000008</v>
      </c>
      <c r="C28">
        <v>48066.204507504299</v>
      </c>
      <c r="F28">
        <v>8709.0040000000008</v>
      </c>
      <c r="G28">
        <v>714407.05126914999</v>
      </c>
      <c r="H28">
        <v>42116.110917806203</v>
      </c>
      <c r="I28">
        <v>756523.16318695701</v>
      </c>
      <c r="L28">
        <v>8709.0040000000008</v>
      </c>
      <c r="M28">
        <v>117743.017593394</v>
      </c>
      <c r="Z28" t="s">
        <v>120</v>
      </c>
    </row>
    <row r="29" spans="2:26" x14ac:dyDescent="0.25">
      <c r="B29">
        <v>8710.0040000000008</v>
      </c>
      <c r="C29">
        <v>48066.204507504299</v>
      </c>
      <c r="F29">
        <v>8710.0040000000008</v>
      </c>
      <c r="G29">
        <v>714468.45126915094</v>
      </c>
      <c r="H29">
        <v>42120.946917806199</v>
      </c>
      <c r="I29">
        <v>756589.39718695695</v>
      </c>
      <c r="L29">
        <v>8710.0040000000008</v>
      </c>
      <c r="M29">
        <v>117754.29059339401</v>
      </c>
      <c r="Z29" t="s">
        <v>121</v>
      </c>
    </row>
    <row r="30" spans="2:26" x14ac:dyDescent="0.25">
      <c r="B30">
        <v>8711.0040000000008</v>
      </c>
      <c r="C30">
        <v>48066.204507504299</v>
      </c>
      <c r="F30">
        <v>8711.0040000000008</v>
      </c>
      <c r="G30">
        <v>714517.18026915099</v>
      </c>
      <c r="H30">
        <v>42125.781917806198</v>
      </c>
      <c r="I30">
        <v>756642.96218695701</v>
      </c>
      <c r="L30">
        <v>8711.0040000000008</v>
      </c>
      <c r="M30">
        <v>117763.22259339401</v>
      </c>
      <c r="Z30" t="s">
        <v>122</v>
      </c>
    </row>
    <row r="31" spans="2:26" x14ac:dyDescent="0.25">
      <c r="B31">
        <v>8712.0040000000008</v>
      </c>
      <c r="C31">
        <v>48066.204507504299</v>
      </c>
      <c r="F31">
        <v>8712.0040000000008</v>
      </c>
      <c r="G31">
        <v>714563.87626915099</v>
      </c>
      <c r="H31">
        <v>42130.616917806197</v>
      </c>
      <c r="I31">
        <v>756694.49418695702</v>
      </c>
      <c r="L31">
        <v>8712.0040000000008</v>
      </c>
      <c r="M31">
        <v>117769.986593394</v>
      </c>
      <c r="Z31" t="s">
        <v>123</v>
      </c>
    </row>
    <row r="32" spans="2:26" x14ac:dyDescent="0.25">
      <c r="B32">
        <v>8713.0040000000008</v>
      </c>
      <c r="C32">
        <v>48066.204507504299</v>
      </c>
      <c r="F32">
        <v>8713.0040000000008</v>
      </c>
      <c r="G32">
        <v>714601.57926915097</v>
      </c>
      <c r="H32">
        <v>42135.4529178062</v>
      </c>
      <c r="I32">
        <v>756737.03118695703</v>
      </c>
      <c r="L32">
        <v>8713.0040000000008</v>
      </c>
      <c r="M32">
        <v>117774.954593394</v>
      </c>
      <c r="Z32" t="s">
        <v>124</v>
      </c>
    </row>
    <row r="33" spans="2:26" x14ac:dyDescent="0.25">
      <c r="B33">
        <v>8714.0040000000008</v>
      </c>
      <c r="C33">
        <v>48066.204507504299</v>
      </c>
      <c r="F33">
        <v>8714.0040000000008</v>
      </c>
      <c r="G33">
        <v>714637.60926914995</v>
      </c>
      <c r="H33">
        <v>42140.287917806199</v>
      </c>
      <c r="I33">
        <v>756777.898186957</v>
      </c>
      <c r="L33">
        <v>8714.0040000000008</v>
      </c>
      <c r="M33">
        <v>117779.914593394</v>
      </c>
      <c r="Z33" t="s">
        <v>125</v>
      </c>
    </row>
    <row r="34" spans="2:26" x14ac:dyDescent="0.25">
      <c r="B34">
        <v>8715.0040000000008</v>
      </c>
      <c r="C34">
        <v>48066.204507504299</v>
      </c>
      <c r="F34">
        <v>8715.0040000000008</v>
      </c>
      <c r="G34">
        <v>714670.40826914995</v>
      </c>
      <c r="H34">
        <v>42145.123917806202</v>
      </c>
      <c r="I34">
        <v>756815.53118695703</v>
      </c>
      <c r="L34">
        <v>8715.0040000000008</v>
      </c>
      <c r="M34">
        <v>117785.04859339401</v>
      </c>
      <c r="Z34" t="s">
        <v>126</v>
      </c>
    </row>
    <row r="35" spans="2:26" x14ac:dyDescent="0.25">
      <c r="B35">
        <v>8716.0040000000008</v>
      </c>
      <c r="C35">
        <v>48066.204507504299</v>
      </c>
      <c r="F35">
        <v>8716.0040000000008</v>
      </c>
      <c r="G35">
        <v>714702.88326915097</v>
      </c>
      <c r="H35">
        <v>42149.958917806201</v>
      </c>
      <c r="I35">
        <v>756852.84218695702</v>
      </c>
      <c r="L35">
        <v>8716.0040000000008</v>
      </c>
      <c r="M35">
        <v>117789.451593394</v>
      </c>
      <c r="Z35" t="s">
        <v>127</v>
      </c>
    </row>
    <row r="36" spans="2:26" x14ac:dyDescent="0.25">
      <c r="B36">
        <v>8717.0040000000008</v>
      </c>
      <c r="C36">
        <v>48066.204507504299</v>
      </c>
      <c r="F36">
        <v>8717.0040000000008</v>
      </c>
      <c r="G36">
        <v>714738.65626914997</v>
      </c>
      <c r="H36">
        <v>42154.793917806201</v>
      </c>
      <c r="I36">
        <v>756893.45018695702</v>
      </c>
      <c r="L36">
        <v>8717.0040000000008</v>
      </c>
      <c r="M36">
        <v>117793.99959339399</v>
      </c>
      <c r="Z36" t="s">
        <v>128</v>
      </c>
    </row>
    <row r="37" spans="2:26" x14ac:dyDescent="0.25">
      <c r="B37">
        <v>8718.0040000000008</v>
      </c>
      <c r="C37">
        <v>48066.204507504299</v>
      </c>
      <c r="F37">
        <v>8718.0040000000008</v>
      </c>
      <c r="G37">
        <v>714782.90426914999</v>
      </c>
      <c r="H37">
        <v>42159.629917806204</v>
      </c>
      <c r="I37">
        <v>756942.53418695705</v>
      </c>
      <c r="L37">
        <v>8718.0040000000008</v>
      </c>
      <c r="M37">
        <v>117800.14659339401</v>
      </c>
      <c r="Z37" t="s">
        <v>129</v>
      </c>
    </row>
    <row r="38" spans="2:26" x14ac:dyDescent="0.25">
      <c r="B38">
        <v>8719.0040000000008</v>
      </c>
      <c r="C38">
        <v>48066.204507504299</v>
      </c>
      <c r="F38">
        <v>8719.0040000000008</v>
      </c>
      <c r="G38">
        <v>714833.90026915097</v>
      </c>
      <c r="H38">
        <v>42164.464917806203</v>
      </c>
      <c r="I38">
        <v>756998.36518695694</v>
      </c>
      <c r="L38">
        <v>8719.0040000000008</v>
      </c>
      <c r="M38">
        <v>117808.838593394</v>
      </c>
      <c r="Z38" t="s">
        <v>130</v>
      </c>
    </row>
    <row r="39" spans="2:26" x14ac:dyDescent="0.25">
      <c r="B39">
        <v>8720.0040000000008</v>
      </c>
      <c r="C39">
        <v>48066.204507504299</v>
      </c>
      <c r="F39">
        <v>8720.0040000000008</v>
      </c>
      <c r="G39">
        <v>714900.08826915</v>
      </c>
      <c r="H39">
        <v>42169.299917806202</v>
      </c>
      <c r="I39">
        <v>757069.38818695699</v>
      </c>
      <c r="L39">
        <v>8720.0040000000008</v>
      </c>
      <c r="M39">
        <v>117821.66959339401</v>
      </c>
      <c r="Z39" t="s">
        <v>131</v>
      </c>
    </row>
    <row r="40" spans="2:26" x14ac:dyDescent="0.25">
      <c r="B40">
        <v>8721.0040000000008</v>
      </c>
      <c r="C40">
        <v>48066.204507504299</v>
      </c>
      <c r="F40">
        <v>8721.0040000000008</v>
      </c>
      <c r="G40">
        <v>714972.46926915098</v>
      </c>
      <c r="H40">
        <v>42174.135917806198</v>
      </c>
      <c r="I40">
        <v>757146.604186957</v>
      </c>
      <c r="L40">
        <v>8721.0040000000008</v>
      </c>
      <c r="M40">
        <v>117835.49959339399</v>
      </c>
      <c r="Z40" t="s">
        <v>132</v>
      </c>
    </row>
    <row r="41" spans="2:26" x14ac:dyDescent="0.25">
      <c r="B41">
        <v>8722.0040000000008</v>
      </c>
      <c r="C41">
        <v>48066.211689981203</v>
      </c>
      <c r="F41">
        <v>8722.0040000000008</v>
      </c>
      <c r="G41">
        <v>715038.85126915097</v>
      </c>
      <c r="H41">
        <v>42178.970917806197</v>
      </c>
      <c r="I41">
        <v>757217.82318695704</v>
      </c>
      <c r="L41">
        <v>8722.0040000000008</v>
      </c>
      <c r="M41">
        <v>117847.91559339401</v>
      </c>
      <c r="Z41" t="s">
        <v>133</v>
      </c>
    </row>
    <row r="42" spans="2:26" x14ac:dyDescent="0.25">
      <c r="B42">
        <v>8723.0040000000008</v>
      </c>
      <c r="C42">
        <v>48066.234891464999</v>
      </c>
      <c r="F42">
        <v>8723.0040000000008</v>
      </c>
      <c r="G42">
        <v>715104.68926915096</v>
      </c>
      <c r="H42">
        <v>42183.8069178062</v>
      </c>
      <c r="I42">
        <v>757288.49518695695</v>
      </c>
      <c r="L42">
        <v>8723.0040000000008</v>
      </c>
      <c r="M42">
        <v>117860.489593394</v>
      </c>
      <c r="Z42" t="s">
        <v>134</v>
      </c>
    </row>
    <row r="43" spans="2:26" x14ac:dyDescent="0.25">
      <c r="B43">
        <v>8724.0040000000008</v>
      </c>
      <c r="C43">
        <v>48066.252934454802</v>
      </c>
      <c r="F43">
        <v>8724.0040000000008</v>
      </c>
      <c r="G43">
        <v>715170.10326915095</v>
      </c>
      <c r="H43">
        <v>42188.641917806199</v>
      </c>
      <c r="I43">
        <v>757358.74518695695</v>
      </c>
      <c r="L43">
        <v>8724.0040000000008</v>
      </c>
      <c r="M43">
        <v>117873.201593394</v>
      </c>
      <c r="Z43" t="s">
        <v>135</v>
      </c>
    </row>
    <row r="44" spans="2:26" x14ac:dyDescent="0.25">
      <c r="B44">
        <v>8725.0040000000008</v>
      </c>
      <c r="C44">
        <v>48066.261457644003</v>
      </c>
      <c r="F44">
        <v>8725.0040000000008</v>
      </c>
      <c r="G44">
        <v>715240.22926915099</v>
      </c>
      <c r="H44">
        <v>42193.476917806198</v>
      </c>
      <c r="I44">
        <v>757433.70618695696</v>
      </c>
      <c r="L44">
        <v>8725.0040000000008</v>
      </c>
      <c r="M44">
        <v>117887.743593394</v>
      </c>
      <c r="Z44" t="s">
        <v>136</v>
      </c>
    </row>
    <row r="45" spans="2:26" x14ac:dyDescent="0.25">
      <c r="B45">
        <v>8726.0040000000008</v>
      </c>
      <c r="C45">
        <v>48066.261457644003</v>
      </c>
      <c r="F45">
        <v>8726.0040000000008</v>
      </c>
      <c r="G45">
        <v>715308.82626915094</v>
      </c>
      <c r="H45">
        <v>42198.312917806201</v>
      </c>
      <c r="I45">
        <v>757507.13918695704</v>
      </c>
      <c r="L45">
        <v>8726.0040000000008</v>
      </c>
      <c r="M45">
        <v>117902.780593394</v>
      </c>
      <c r="Z45" t="s">
        <v>137</v>
      </c>
    </row>
    <row r="46" spans="2:26" x14ac:dyDescent="0.25">
      <c r="B46">
        <v>8727.0040000000008</v>
      </c>
      <c r="C46">
        <v>48066.261457644003</v>
      </c>
      <c r="F46">
        <v>8727.0040000000008</v>
      </c>
      <c r="G46">
        <v>715394.35426915099</v>
      </c>
      <c r="H46">
        <v>42203.1479178062</v>
      </c>
      <c r="I46">
        <v>757597.50318695698</v>
      </c>
      <c r="L46">
        <v>8727.0040000000008</v>
      </c>
      <c r="M46">
        <v>117924.546593394</v>
      </c>
      <c r="Z46" t="s">
        <v>138</v>
      </c>
    </row>
    <row r="47" spans="2:26" x14ac:dyDescent="0.25">
      <c r="B47">
        <v>8728.0040000000008</v>
      </c>
      <c r="C47">
        <v>48066.261457644003</v>
      </c>
      <c r="F47">
        <v>8728.0040000000008</v>
      </c>
      <c r="G47">
        <v>715493.69326914998</v>
      </c>
      <c r="H47">
        <v>42207.982917806199</v>
      </c>
      <c r="I47">
        <v>757701.67618695705</v>
      </c>
      <c r="L47">
        <v>8728.0040000000008</v>
      </c>
      <c r="M47">
        <v>117949.85959339399</v>
      </c>
      <c r="Z47" t="s">
        <v>139</v>
      </c>
    </row>
    <row r="48" spans="2:26" x14ac:dyDescent="0.25">
      <c r="B48">
        <v>8729.0040000000008</v>
      </c>
      <c r="C48">
        <v>48066.261457644003</v>
      </c>
      <c r="F48">
        <v>8729.0040000000008</v>
      </c>
      <c r="G48">
        <v>715627.76526915096</v>
      </c>
      <c r="H48">
        <v>42212.818917806202</v>
      </c>
      <c r="I48">
        <v>757840.58318695705</v>
      </c>
      <c r="L48">
        <v>8729.0040000000008</v>
      </c>
      <c r="M48">
        <v>117984.09759339401</v>
      </c>
      <c r="Z48" t="s">
        <v>140</v>
      </c>
    </row>
    <row r="49" spans="2:26" x14ac:dyDescent="0.25">
      <c r="B49">
        <v>8730.0040000000008</v>
      </c>
      <c r="C49">
        <v>48066.261457644003</v>
      </c>
      <c r="F49">
        <v>8730.0040000000008</v>
      </c>
      <c r="G49">
        <v>715755.33426915098</v>
      </c>
      <c r="H49">
        <v>42217.653917806201</v>
      </c>
      <c r="I49">
        <v>757972.98918695701</v>
      </c>
      <c r="L49">
        <v>8730.0040000000008</v>
      </c>
      <c r="M49">
        <v>118015.91659339399</v>
      </c>
      <c r="Z49" t="s">
        <v>141</v>
      </c>
    </row>
    <row r="50" spans="2:26" x14ac:dyDescent="0.25">
      <c r="B50">
        <v>8731.0040000000008</v>
      </c>
      <c r="C50">
        <v>48066.261457644003</v>
      </c>
      <c r="F50">
        <v>8731.0040000000008</v>
      </c>
      <c r="G50">
        <v>715861.00726915</v>
      </c>
      <c r="H50">
        <v>42222.489917806197</v>
      </c>
      <c r="I50">
        <v>758083.496186957</v>
      </c>
      <c r="L50">
        <v>8731.0040000000008</v>
      </c>
      <c r="M50">
        <v>118041.106593394</v>
      </c>
      <c r="Z50" t="s">
        <v>142</v>
      </c>
    </row>
    <row r="51" spans="2:26" x14ac:dyDescent="0.25">
      <c r="B51">
        <v>8732.0040000000008</v>
      </c>
      <c r="C51">
        <v>48066.261457644003</v>
      </c>
      <c r="F51">
        <v>8732.0040000000008</v>
      </c>
      <c r="G51">
        <v>715967.41926915001</v>
      </c>
      <c r="H51">
        <v>42227.324917806203</v>
      </c>
      <c r="I51">
        <v>758194.74418695702</v>
      </c>
      <c r="L51">
        <v>8732.0040000000008</v>
      </c>
      <c r="M51">
        <v>118061.956593394</v>
      </c>
      <c r="Z51" t="s">
        <v>143</v>
      </c>
    </row>
    <row r="52" spans="2:26" x14ac:dyDescent="0.25">
      <c r="B52">
        <v>8733.0040000000008</v>
      </c>
      <c r="C52">
        <v>48066.261457644003</v>
      </c>
      <c r="F52">
        <v>8733.0040000000008</v>
      </c>
      <c r="G52">
        <v>716067.26726915</v>
      </c>
      <c r="H52">
        <v>42232.159917806202</v>
      </c>
      <c r="I52">
        <v>758299.42718695698</v>
      </c>
      <c r="L52">
        <v>8733.0040000000008</v>
      </c>
      <c r="M52">
        <v>118081.672593394</v>
      </c>
      <c r="Z52" t="s">
        <v>144</v>
      </c>
    </row>
    <row r="53" spans="2:26" x14ac:dyDescent="0.25">
      <c r="B53">
        <v>8734.0040000000008</v>
      </c>
      <c r="C53">
        <v>48066.261457644003</v>
      </c>
      <c r="F53">
        <v>8734.0040000000008</v>
      </c>
      <c r="G53">
        <v>716146.09126915096</v>
      </c>
      <c r="H53">
        <v>42236.995917806198</v>
      </c>
      <c r="I53">
        <v>758383.08718695701</v>
      </c>
      <c r="L53">
        <v>8734.0040000000008</v>
      </c>
      <c r="M53">
        <v>118096.310593394</v>
      </c>
      <c r="Z53" t="s">
        <v>145</v>
      </c>
    </row>
    <row r="54" spans="2:26" x14ac:dyDescent="0.25">
      <c r="B54">
        <v>8735.0040000000008</v>
      </c>
      <c r="C54">
        <v>48066.261457644003</v>
      </c>
      <c r="F54">
        <v>8735.0040000000008</v>
      </c>
      <c r="G54">
        <v>716209.53326914995</v>
      </c>
      <c r="H54">
        <v>42241.830917806197</v>
      </c>
      <c r="I54">
        <v>758451.36418695701</v>
      </c>
      <c r="L54">
        <v>8735.0040000000008</v>
      </c>
      <c r="M54">
        <v>118108.440593394</v>
      </c>
      <c r="Z54" t="s">
        <v>146</v>
      </c>
    </row>
    <row r="55" spans="2:26" x14ac:dyDescent="0.25">
      <c r="B55">
        <v>8736.0040000000008</v>
      </c>
      <c r="C55">
        <v>48066.261457644003</v>
      </c>
      <c r="F55">
        <v>8736.0040000000008</v>
      </c>
      <c r="G55">
        <v>716259.71926915098</v>
      </c>
      <c r="H55">
        <v>42246.665917806196</v>
      </c>
      <c r="I55">
        <v>758506.38618695701</v>
      </c>
      <c r="L55">
        <v>8736.0040000000008</v>
      </c>
      <c r="M55">
        <v>118116.997593394</v>
      </c>
      <c r="Z55" t="s">
        <v>147</v>
      </c>
    </row>
    <row r="56" spans="2:26" x14ac:dyDescent="0.25">
      <c r="B56">
        <v>8737.0040000000008</v>
      </c>
      <c r="C56">
        <v>48066.261457644003</v>
      </c>
      <c r="F56">
        <v>8737.0040000000008</v>
      </c>
      <c r="G56">
        <v>716298.91726915096</v>
      </c>
      <c r="H56">
        <v>42251.501917806199</v>
      </c>
      <c r="I56">
        <v>758550.41918695695</v>
      </c>
      <c r="L56">
        <v>8737.0040000000008</v>
      </c>
      <c r="M56">
        <v>118123.733593394</v>
      </c>
      <c r="Z56" t="s">
        <v>148</v>
      </c>
    </row>
    <row r="57" spans="2:26" x14ac:dyDescent="0.25">
      <c r="B57">
        <v>8738.0040000000008</v>
      </c>
      <c r="C57">
        <v>48066.261457644003</v>
      </c>
      <c r="F57">
        <v>8738.0040000000008</v>
      </c>
      <c r="G57">
        <v>716333.99726914999</v>
      </c>
      <c r="H57">
        <v>42256.336917806198</v>
      </c>
      <c r="I57">
        <v>758590.33418695698</v>
      </c>
      <c r="L57">
        <v>8738.0040000000008</v>
      </c>
      <c r="M57">
        <v>118129.974593394</v>
      </c>
      <c r="Z57" t="s">
        <v>149</v>
      </c>
    </row>
    <row r="58" spans="2:26" x14ac:dyDescent="0.25">
      <c r="B58">
        <v>8739.0040000000008</v>
      </c>
      <c r="C58">
        <v>48066.261457644003</v>
      </c>
      <c r="F58">
        <v>8739.0040000000008</v>
      </c>
      <c r="G58">
        <v>716364.87126915099</v>
      </c>
      <c r="H58">
        <v>42261.172917806201</v>
      </c>
      <c r="I58">
        <v>758626.04418695695</v>
      </c>
      <c r="L58">
        <v>8739.0040000000008</v>
      </c>
      <c r="M58">
        <v>118135.445593394</v>
      </c>
      <c r="Z58" t="s">
        <v>150</v>
      </c>
    </row>
    <row r="59" spans="2:26" x14ac:dyDescent="0.25">
      <c r="B59">
        <v>8740.0040000000008</v>
      </c>
      <c r="C59">
        <v>48066.261457644003</v>
      </c>
      <c r="F59">
        <v>8740.0040000000008</v>
      </c>
      <c r="G59">
        <v>716396.67326914996</v>
      </c>
      <c r="H59">
        <v>42266.007917806201</v>
      </c>
      <c r="I59">
        <v>758662.68118695705</v>
      </c>
      <c r="L59">
        <v>8740.0040000000008</v>
      </c>
      <c r="M59">
        <v>118140.724593394</v>
      </c>
      <c r="Z59" t="s">
        <v>151</v>
      </c>
    </row>
    <row r="60" spans="2:26" x14ac:dyDescent="0.25">
      <c r="B60">
        <v>8741.0040000000008</v>
      </c>
      <c r="C60">
        <v>48066.261457644003</v>
      </c>
      <c r="F60">
        <v>8741.0040000000008</v>
      </c>
      <c r="G60">
        <v>716431.08826915</v>
      </c>
      <c r="H60">
        <v>42270.8429178062</v>
      </c>
      <c r="I60">
        <v>758701.93218695698</v>
      </c>
      <c r="L60">
        <v>8741.0040000000008</v>
      </c>
      <c r="M60">
        <v>118146.368593394</v>
      </c>
      <c r="Z60" t="s">
        <v>152</v>
      </c>
    </row>
    <row r="61" spans="2:26" x14ac:dyDescent="0.25">
      <c r="B61">
        <v>8742.0040000000008</v>
      </c>
      <c r="C61">
        <v>48066.261457644003</v>
      </c>
      <c r="F61">
        <v>8742.0040000000008</v>
      </c>
      <c r="G61">
        <v>716473.63026915095</v>
      </c>
      <c r="H61">
        <v>42275.678917806203</v>
      </c>
      <c r="I61">
        <v>758749.30918695696</v>
      </c>
      <c r="L61">
        <v>8742.0040000000008</v>
      </c>
      <c r="M61">
        <v>118153.16959339401</v>
      </c>
      <c r="Z61" t="s">
        <v>153</v>
      </c>
    </row>
    <row r="62" spans="2:26" x14ac:dyDescent="0.25">
      <c r="B62">
        <v>8743.0040000000008</v>
      </c>
      <c r="C62">
        <v>48066.261457644003</v>
      </c>
      <c r="F62">
        <v>8743.0040000000008</v>
      </c>
      <c r="G62">
        <v>716527.54926915094</v>
      </c>
      <c r="H62">
        <v>42280.513917806202</v>
      </c>
      <c r="I62">
        <v>758808.06318695704</v>
      </c>
      <c r="L62">
        <v>8743.0040000000008</v>
      </c>
      <c r="M62">
        <v>118161.784593394</v>
      </c>
      <c r="Z62" t="s">
        <v>154</v>
      </c>
    </row>
    <row r="63" spans="2:26" x14ac:dyDescent="0.25">
      <c r="B63">
        <v>8744.0040000000008</v>
      </c>
      <c r="C63">
        <v>48066.261457644003</v>
      </c>
      <c r="F63">
        <v>8744.0040000000008</v>
      </c>
      <c r="G63">
        <v>716596.75926914997</v>
      </c>
      <c r="H63">
        <v>42285.348917806201</v>
      </c>
      <c r="I63">
        <v>758882.10918695701</v>
      </c>
      <c r="L63">
        <v>8744.0040000000008</v>
      </c>
      <c r="M63">
        <v>118174.216593394</v>
      </c>
      <c r="Z63" t="s">
        <v>155</v>
      </c>
    </row>
    <row r="64" spans="2:26" x14ac:dyDescent="0.25">
      <c r="B64">
        <v>8745.0040000000008</v>
      </c>
      <c r="C64">
        <v>48066.261457644003</v>
      </c>
      <c r="F64">
        <v>8745.0040000000008</v>
      </c>
      <c r="G64">
        <v>716669.76426914998</v>
      </c>
      <c r="H64">
        <v>42290.184917806197</v>
      </c>
      <c r="I64">
        <v>758959.94918695698</v>
      </c>
      <c r="L64">
        <v>8745.0040000000008</v>
      </c>
      <c r="M64">
        <v>118187.55659339399</v>
      </c>
      <c r="Z64" t="s">
        <v>156</v>
      </c>
    </row>
    <row r="65" spans="2:26" x14ac:dyDescent="0.25">
      <c r="B65">
        <v>8746.0040000000008</v>
      </c>
      <c r="C65">
        <v>48066.261457644003</v>
      </c>
      <c r="F65">
        <v>8746.0040000000008</v>
      </c>
      <c r="G65">
        <v>716742.69226915098</v>
      </c>
      <c r="H65">
        <v>42295.019917806203</v>
      </c>
      <c r="I65">
        <v>759037.71218695701</v>
      </c>
      <c r="L65">
        <v>8746.0040000000008</v>
      </c>
      <c r="M65">
        <v>118200.53359339399</v>
      </c>
      <c r="Z65" t="s">
        <v>157</v>
      </c>
    </row>
    <row r="66" spans="2:26" x14ac:dyDescent="0.25">
      <c r="B66">
        <v>8747.0040000000008</v>
      </c>
      <c r="C66">
        <v>48066.261457644003</v>
      </c>
      <c r="F66">
        <v>8747.0040000000008</v>
      </c>
      <c r="G66">
        <v>716820.63126914995</v>
      </c>
      <c r="H66">
        <v>42299.855917806199</v>
      </c>
      <c r="I66">
        <v>759120.48618695699</v>
      </c>
      <c r="L66">
        <v>8747.0040000000008</v>
      </c>
      <c r="M66">
        <v>118214.54159339399</v>
      </c>
      <c r="Z66" t="s">
        <v>158</v>
      </c>
    </row>
    <row r="67" spans="2:26" x14ac:dyDescent="0.25">
      <c r="B67">
        <v>8748.0040000000008</v>
      </c>
      <c r="C67">
        <v>48066.418766100302</v>
      </c>
      <c r="F67">
        <v>8748.0040000000008</v>
      </c>
      <c r="G67">
        <v>716897.21226914995</v>
      </c>
      <c r="H67">
        <v>42304.690917806198</v>
      </c>
      <c r="I67">
        <v>759201.903186957</v>
      </c>
      <c r="L67">
        <v>8748.0040000000008</v>
      </c>
      <c r="M67">
        <v>118228.191593394</v>
      </c>
      <c r="Z67" t="s">
        <v>159</v>
      </c>
    </row>
    <row r="68" spans="2:26" x14ac:dyDescent="0.25">
      <c r="B68">
        <v>8749.0040000000008</v>
      </c>
      <c r="C68">
        <v>48066.418766100302</v>
      </c>
      <c r="F68">
        <v>8749.0040000000008</v>
      </c>
      <c r="G68">
        <v>716976.07726915099</v>
      </c>
      <c r="H68">
        <v>42309.525917806197</v>
      </c>
      <c r="I68">
        <v>759285.60318695696</v>
      </c>
      <c r="L68">
        <v>8749.0040000000008</v>
      </c>
      <c r="M68">
        <v>118241.971593394</v>
      </c>
      <c r="Z68" t="s">
        <v>160</v>
      </c>
    </row>
    <row r="69" spans="2:26" x14ac:dyDescent="0.25">
      <c r="B69">
        <v>8750.0040000000008</v>
      </c>
      <c r="C69">
        <v>48066.440132419899</v>
      </c>
      <c r="F69">
        <v>8750.0040000000008</v>
      </c>
      <c r="G69">
        <v>717056.17926915095</v>
      </c>
      <c r="H69">
        <v>42314.3619178062</v>
      </c>
      <c r="I69">
        <v>759370.54118695704</v>
      </c>
      <c r="L69">
        <v>8750.0040000000008</v>
      </c>
      <c r="M69">
        <v>118255.910593394</v>
      </c>
      <c r="Z69" t="s">
        <v>161</v>
      </c>
    </row>
    <row r="70" spans="2:26" x14ac:dyDescent="0.25">
      <c r="B70">
        <v>8751.0040000000008</v>
      </c>
      <c r="C70">
        <v>48066.464804031697</v>
      </c>
      <c r="F70">
        <v>8751.0040000000008</v>
      </c>
      <c r="G70">
        <v>717142.98226914997</v>
      </c>
      <c r="H70">
        <v>42319.196917806199</v>
      </c>
      <c r="I70">
        <v>759462.17918695696</v>
      </c>
      <c r="L70">
        <v>8751.0040000000008</v>
      </c>
      <c r="M70">
        <v>118269.736593394</v>
      </c>
      <c r="Z70" t="s">
        <v>162</v>
      </c>
    </row>
    <row r="71" spans="2:26" x14ac:dyDescent="0.25">
      <c r="B71">
        <v>8752.0040000000008</v>
      </c>
      <c r="C71">
        <v>48066.464804031697</v>
      </c>
      <c r="F71">
        <v>8752.0040000000008</v>
      </c>
      <c r="G71">
        <v>717249.06726915098</v>
      </c>
      <c r="H71">
        <v>42324.031917806198</v>
      </c>
      <c r="I71">
        <v>759573.10018695705</v>
      </c>
      <c r="L71">
        <v>8752.0040000000008</v>
      </c>
      <c r="M71">
        <v>118286.360593394</v>
      </c>
      <c r="Z71" t="s">
        <v>163</v>
      </c>
    </row>
    <row r="72" spans="2:26" x14ac:dyDescent="0.25">
      <c r="B72">
        <v>8753.0040000000008</v>
      </c>
      <c r="C72">
        <v>48066.474833069202</v>
      </c>
      <c r="F72">
        <v>8753.0040000000008</v>
      </c>
      <c r="G72">
        <v>717381.04726915096</v>
      </c>
      <c r="H72">
        <v>42328.867917806201</v>
      </c>
      <c r="I72">
        <v>759709.91518695699</v>
      </c>
      <c r="L72">
        <v>8753.0040000000008</v>
      </c>
      <c r="M72">
        <v>118307.550593394</v>
      </c>
      <c r="Z72" t="s">
        <v>164</v>
      </c>
    </row>
    <row r="73" spans="2:26" x14ac:dyDescent="0.25">
      <c r="B73">
        <v>8754.0040000000008</v>
      </c>
      <c r="C73">
        <v>48066.4842898551</v>
      </c>
      <c r="F73">
        <v>8754.0040000000008</v>
      </c>
      <c r="G73">
        <v>717509.09526914998</v>
      </c>
      <c r="H73">
        <v>42333.7029178062</v>
      </c>
      <c r="I73">
        <v>759842.79918695695</v>
      </c>
      <c r="L73">
        <v>8754.0040000000008</v>
      </c>
      <c r="M73">
        <v>118327.702593394</v>
      </c>
      <c r="Z73" t="s">
        <v>165</v>
      </c>
    </row>
    <row r="74" spans="2:26" x14ac:dyDescent="0.25">
      <c r="B74">
        <v>8755.0040000000008</v>
      </c>
      <c r="C74">
        <v>48066.486714277198</v>
      </c>
      <c r="F74">
        <v>8755.0040000000008</v>
      </c>
      <c r="G74">
        <v>717606.80326914997</v>
      </c>
      <c r="H74">
        <v>42338.538917806203</v>
      </c>
      <c r="I74">
        <v>759945.34218695702</v>
      </c>
      <c r="L74">
        <v>8755.0040000000008</v>
      </c>
      <c r="M74">
        <v>118341.792593394</v>
      </c>
      <c r="Z74" t="s">
        <v>166</v>
      </c>
    </row>
    <row r="75" spans="2:26" x14ac:dyDescent="0.25">
      <c r="B75">
        <v>8756.0040000000008</v>
      </c>
      <c r="C75">
        <v>48066.486714277198</v>
      </c>
      <c r="F75">
        <v>8756.0040000000008</v>
      </c>
      <c r="G75">
        <v>717708.92626914999</v>
      </c>
      <c r="H75">
        <v>42343.373917806202</v>
      </c>
      <c r="I75">
        <v>760052.300186957</v>
      </c>
      <c r="L75">
        <v>8756.0040000000008</v>
      </c>
      <c r="M75">
        <v>118356.437593394</v>
      </c>
      <c r="Z75" t="s">
        <v>167</v>
      </c>
    </row>
    <row r="76" spans="2:26" x14ac:dyDescent="0.25">
      <c r="B76">
        <v>8757.0040000000008</v>
      </c>
      <c r="C76">
        <v>48066.486714277198</v>
      </c>
      <c r="F76">
        <v>8757.0040000000008</v>
      </c>
      <c r="G76">
        <v>717792.18026915099</v>
      </c>
      <c r="H76">
        <v>42348.208917806201</v>
      </c>
      <c r="I76">
        <v>760140.39018695697</v>
      </c>
      <c r="L76">
        <v>8757.0040000000008</v>
      </c>
      <c r="M76">
        <v>118368.22659339401</v>
      </c>
      <c r="Z76" t="s">
        <v>168</v>
      </c>
    </row>
    <row r="77" spans="2:26" x14ac:dyDescent="0.25">
      <c r="B77">
        <v>8758.0040000000008</v>
      </c>
      <c r="C77">
        <v>48066.486714277198</v>
      </c>
      <c r="F77">
        <v>8758.0040000000008</v>
      </c>
      <c r="G77">
        <v>717868.83226914995</v>
      </c>
      <c r="H77">
        <v>42353.044917806197</v>
      </c>
      <c r="I77">
        <v>760221.876186957</v>
      </c>
      <c r="L77">
        <v>8758.0040000000008</v>
      </c>
      <c r="M77">
        <v>118379.356593394</v>
      </c>
      <c r="Z77" t="s">
        <v>169</v>
      </c>
    </row>
    <row r="78" spans="2:26" x14ac:dyDescent="0.25">
      <c r="B78">
        <v>8759.0040000000008</v>
      </c>
      <c r="C78">
        <v>48066.486714277198</v>
      </c>
      <c r="F78">
        <v>8759.0040000000008</v>
      </c>
      <c r="G78">
        <v>717929.97326915001</v>
      </c>
      <c r="H78">
        <v>42357.879917806204</v>
      </c>
      <c r="I78">
        <v>760287.85318695696</v>
      </c>
      <c r="L78">
        <v>8759.0040000000008</v>
      </c>
      <c r="M78">
        <v>118388.98759339401</v>
      </c>
      <c r="Z78" t="s">
        <v>170</v>
      </c>
    </row>
    <row r="79" spans="2:26" x14ac:dyDescent="0.25">
      <c r="B79">
        <v>8760.0040000000008</v>
      </c>
      <c r="C79">
        <v>48066.486714277198</v>
      </c>
      <c r="F79">
        <v>8760.0040000000008</v>
      </c>
      <c r="G79">
        <v>717977.75926914997</v>
      </c>
      <c r="H79">
        <v>42362.714917806203</v>
      </c>
      <c r="I79">
        <v>760340.47518695705</v>
      </c>
      <c r="L79">
        <v>8760.0040000000008</v>
      </c>
      <c r="M79">
        <v>118397.456593394</v>
      </c>
      <c r="Z79" t="s">
        <v>171</v>
      </c>
    </row>
    <row r="80" spans="2:26" x14ac:dyDescent="0.25">
      <c r="B80">
        <v>8761.0040000000008</v>
      </c>
      <c r="C80">
        <v>48066.486714277198</v>
      </c>
      <c r="F80">
        <v>8761.0040000000008</v>
      </c>
      <c r="G80">
        <v>718014.39526915096</v>
      </c>
      <c r="H80">
        <v>42367.550917806198</v>
      </c>
      <c r="I80">
        <v>760381.94618695695</v>
      </c>
      <c r="L80">
        <v>8761.0040000000008</v>
      </c>
      <c r="M80">
        <v>118404.757593394</v>
      </c>
      <c r="Z80" t="s">
        <v>172</v>
      </c>
    </row>
    <row r="81" spans="2:26" x14ac:dyDescent="0.25">
      <c r="B81">
        <v>8762.0040000000008</v>
      </c>
      <c r="C81">
        <v>48066.486714277198</v>
      </c>
      <c r="F81">
        <v>8762.0040000000008</v>
      </c>
      <c r="G81">
        <v>718041.28526915098</v>
      </c>
      <c r="H81">
        <v>42372.385917806198</v>
      </c>
      <c r="I81">
        <v>760413.67118695704</v>
      </c>
      <c r="L81">
        <v>8762.0040000000008</v>
      </c>
      <c r="M81">
        <v>118410.398593394</v>
      </c>
      <c r="Z81" t="s">
        <v>173</v>
      </c>
    </row>
    <row r="82" spans="2:26" x14ac:dyDescent="0.25">
      <c r="B82">
        <v>8763.0040000000008</v>
      </c>
      <c r="C82">
        <v>48066.486714277198</v>
      </c>
      <c r="F82">
        <v>8763.0040000000008</v>
      </c>
      <c r="G82">
        <v>718051.07126915001</v>
      </c>
      <c r="H82">
        <v>42377.221917806201</v>
      </c>
      <c r="I82">
        <v>760428.29318695702</v>
      </c>
      <c r="L82">
        <v>8763.0040000000008</v>
      </c>
      <c r="M82">
        <v>118415.011593394</v>
      </c>
      <c r="Z82" t="s">
        <v>174</v>
      </c>
    </row>
    <row r="83" spans="2:26" x14ac:dyDescent="0.25">
      <c r="B83">
        <v>8764.0040000000008</v>
      </c>
      <c r="C83">
        <v>48066.486714277198</v>
      </c>
      <c r="F83">
        <v>8764.0040000000008</v>
      </c>
      <c r="G83">
        <v>718054.63326915097</v>
      </c>
      <c r="H83">
        <v>42382.0569178062</v>
      </c>
      <c r="I83">
        <v>760436.69018695701</v>
      </c>
      <c r="L83">
        <v>8764.0040000000008</v>
      </c>
      <c r="M83">
        <v>118419.981593394</v>
      </c>
      <c r="Z83" t="s">
        <v>175</v>
      </c>
    </row>
    <row r="84" spans="2:26" x14ac:dyDescent="0.25">
      <c r="B84">
        <v>8765.0040000000008</v>
      </c>
      <c r="C84">
        <v>48066.486714277198</v>
      </c>
      <c r="F84">
        <v>8765.0040000000008</v>
      </c>
      <c r="G84">
        <v>718062.65726915095</v>
      </c>
      <c r="H84">
        <v>42386.891917806199</v>
      </c>
      <c r="I84">
        <v>760449.550186957</v>
      </c>
      <c r="L84">
        <v>8765.0040000000008</v>
      </c>
      <c r="M84">
        <v>118425.23459339399</v>
      </c>
      <c r="Z84" t="s">
        <v>176</v>
      </c>
    </row>
    <row r="85" spans="2:26" x14ac:dyDescent="0.25">
      <c r="B85">
        <v>8766.0040000000008</v>
      </c>
      <c r="C85">
        <v>48066.486714277198</v>
      </c>
      <c r="F85">
        <v>8766.0040000000008</v>
      </c>
      <c r="G85">
        <v>718080.00926914997</v>
      </c>
      <c r="H85">
        <v>42391.727917806202</v>
      </c>
      <c r="I85">
        <v>760471.73718695703</v>
      </c>
      <c r="L85">
        <v>8766.0040000000008</v>
      </c>
      <c r="M85">
        <v>118432.641593394</v>
      </c>
      <c r="Z85" t="s">
        <v>177</v>
      </c>
    </row>
    <row r="86" spans="2:26" x14ac:dyDescent="0.25">
      <c r="B86">
        <v>8767.0040000000008</v>
      </c>
      <c r="C86">
        <v>48066.486714277198</v>
      </c>
      <c r="F86">
        <v>8767.0040000000008</v>
      </c>
      <c r="G86">
        <v>718121.63026915095</v>
      </c>
      <c r="H86">
        <v>42396.562917806201</v>
      </c>
      <c r="I86">
        <v>760518.19318695704</v>
      </c>
      <c r="L86">
        <v>8767.0040000000008</v>
      </c>
      <c r="M86">
        <v>118441.846593394</v>
      </c>
      <c r="Z86" t="s">
        <v>178</v>
      </c>
    </row>
    <row r="87" spans="2:26" x14ac:dyDescent="0.25">
      <c r="B87">
        <v>8768.0040000000008</v>
      </c>
      <c r="C87">
        <v>48066.486714277198</v>
      </c>
      <c r="F87">
        <v>8768.0040000000008</v>
      </c>
      <c r="G87">
        <v>718181.66926915001</v>
      </c>
      <c r="H87">
        <v>42401.3979178062</v>
      </c>
      <c r="I87">
        <v>760583.06718695699</v>
      </c>
      <c r="L87">
        <v>8768.0040000000008</v>
      </c>
      <c r="M87">
        <v>118453.276593394</v>
      </c>
      <c r="Z87" t="s">
        <v>179</v>
      </c>
    </row>
    <row r="88" spans="2:26" x14ac:dyDescent="0.25">
      <c r="B88">
        <v>8769.0040000000008</v>
      </c>
      <c r="C88">
        <v>48066.486714277198</v>
      </c>
      <c r="F88">
        <v>8769.0040000000008</v>
      </c>
      <c r="G88">
        <v>718251.03826914995</v>
      </c>
      <c r="H88">
        <v>42406.233917806203</v>
      </c>
      <c r="I88">
        <v>760657.27218695695</v>
      </c>
      <c r="L88">
        <v>8769.0040000000008</v>
      </c>
      <c r="M88">
        <v>118466.831593394</v>
      </c>
      <c r="Z88" t="s">
        <v>180</v>
      </c>
    </row>
    <row r="89" spans="2:26" x14ac:dyDescent="0.25">
      <c r="B89">
        <v>8770.0040000000008</v>
      </c>
      <c r="C89">
        <v>48066.585225258401</v>
      </c>
      <c r="F89">
        <v>8770.0040000000008</v>
      </c>
      <c r="G89">
        <v>718341.87826915097</v>
      </c>
      <c r="H89">
        <v>42411.068917806202</v>
      </c>
      <c r="I89">
        <v>760752.94818695704</v>
      </c>
      <c r="L89">
        <v>8770.0040000000008</v>
      </c>
      <c r="M89">
        <v>118484.549593394</v>
      </c>
      <c r="Z89" t="s">
        <v>181</v>
      </c>
    </row>
    <row r="90" spans="2:26" x14ac:dyDescent="0.25">
      <c r="B90">
        <v>8771.0040000000008</v>
      </c>
      <c r="C90">
        <v>48066.777596924199</v>
      </c>
      <c r="F90">
        <v>8771.0040000000008</v>
      </c>
      <c r="G90">
        <v>718441.67726915097</v>
      </c>
      <c r="H90">
        <v>42415.904917806198</v>
      </c>
      <c r="I90">
        <v>760857.58218695701</v>
      </c>
      <c r="L90">
        <v>8771.0040000000008</v>
      </c>
      <c r="M90">
        <v>118505.103593394</v>
      </c>
      <c r="Z90" t="s">
        <v>182</v>
      </c>
    </row>
    <row r="91" spans="2:26" x14ac:dyDescent="0.25">
      <c r="B91">
        <v>8772.0040000000008</v>
      </c>
      <c r="C91">
        <v>48066.873000526</v>
      </c>
      <c r="F91">
        <v>8772.0040000000008</v>
      </c>
      <c r="G91">
        <v>718548.83726914995</v>
      </c>
      <c r="H91">
        <v>42420.739917806197</v>
      </c>
      <c r="I91">
        <v>760969.577186957</v>
      </c>
      <c r="L91">
        <v>8772.0040000000008</v>
      </c>
      <c r="M91">
        <v>118528.724593394</v>
      </c>
      <c r="Z91" t="s">
        <v>183</v>
      </c>
    </row>
    <row r="92" spans="2:26" x14ac:dyDescent="0.25">
      <c r="B92">
        <v>8773.0040000000008</v>
      </c>
      <c r="C92">
        <v>48066.884511215598</v>
      </c>
      <c r="F92">
        <v>8773.0040000000008</v>
      </c>
      <c r="G92">
        <v>718667.72926915099</v>
      </c>
      <c r="H92">
        <v>42425.574917806203</v>
      </c>
      <c r="I92">
        <v>761093.30418695696</v>
      </c>
      <c r="L92">
        <v>8773.0040000000008</v>
      </c>
      <c r="M92">
        <v>118555.79859339401</v>
      </c>
      <c r="Z92" t="s">
        <v>184</v>
      </c>
    </row>
    <row r="93" spans="2:26" x14ac:dyDescent="0.25">
      <c r="B93">
        <v>8774.0040000000008</v>
      </c>
      <c r="C93">
        <v>48066.884511215598</v>
      </c>
      <c r="F93">
        <v>8774.0040000000008</v>
      </c>
      <c r="G93">
        <v>718782.04326914996</v>
      </c>
      <c r="H93">
        <v>42430.410917806199</v>
      </c>
      <c r="I93">
        <v>761212.45418695698</v>
      </c>
      <c r="L93">
        <v>8774.0040000000008</v>
      </c>
      <c r="M93">
        <v>118583.739593394</v>
      </c>
      <c r="Z93" t="s">
        <v>185</v>
      </c>
    </row>
    <row r="94" spans="2:26" x14ac:dyDescent="0.25">
      <c r="B94">
        <v>8775.0040000000008</v>
      </c>
      <c r="C94">
        <v>48066.884511215598</v>
      </c>
      <c r="F94">
        <v>8775.0040000000008</v>
      </c>
      <c r="G94">
        <v>718898.50726915</v>
      </c>
      <c r="H94">
        <v>42435.245917806198</v>
      </c>
      <c r="I94">
        <v>761333.75418695703</v>
      </c>
      <c r="L94">
        <v>8775.0040000000008</v>
      </c>
      <c r="M94">
        <v>118613.07559339399</v>
      </c>
      <c r="Z94" t="s">
        <v>186</v>
      </c>
    </row>
    <row r="95" spans="2:26" x14ac:dyDescent="0.25">
      <c r="B95">
        <v>8776.0040000000008</v>
      </c>
      <c r="C95">
        <v>48066.884511215598</v>
      </c>
      <c r="F95">
        <v>8776.0040000000008</v>
      </c>
      <c r="G95">
        <v>719030.22126915096</v>
      </c>
      <c r="H95">
        <v>42440.080917806197</v>
      </c>
      <c r="I95">
        <v>761470.30318695703</v>
      </c>
      <c r="L95">
        <v>8776.0040000000008</v>
      </c>
      <c r="M95">
        <v>118646.482593394</v>
      </c>
      <c r="Z95" t="s">
        <v>187</v>
      </c>
    </row>
    <row r="96" spans="2:26" x14ac:dyDescent="0.25">
      <c r="B96">
        <v>8777.0040000000008</v>
      </c>
      <c r="C96">
        <v>48066.884511215598</v>
      </c>
      <c r="F96">
        <v>8777.0040000000008</v>
      </c>
      <c r="G96">
        <v>719178.63126914995</v>
      </c>
      <c r="H96">
        <v>42444.9169178062</v>
      </c>
      <c r="I96">
        <v>761623.54818695702</v>
      </c>
      <c r="L96">
        <v>8777.0040000000008</v>
      </c>
      <c r="M96">
        <v>118686.34459339399</v>
      </c>
      <c r="Z96" t="s">
        <v>188</v>
      </c>
    </row>
    <row r="97" spans="2:26" x14ac:dyDescent="0.25">
      <c r="B97">
        <v>8778.0040000000008</v>
      </c>
      <c r="C97">
        <v>48066.884511215598</v>
      </c>
      <c r="F97">
        <v>8778.0040000000008</v>
      </c>
      <c r="G97">
        <v>719319.99826915096</v>
      </c>
      <c r="H97">
        <v>42449.751917806199</v>
      </c>
      <c r="I97">
        <v>761769.75018695695</v>
      </c>
      <c r="L97">
        <v>8778.0040000000008</v>
      </c>
      <c r="M97">
        <v>118726.937593394</v>
      </c>
      <c r="Z97" t="s">
        <v>189</v>
      </c>
    </row>
    <row r="98" spans="2:26" x14ac:dyDescent="0.25">
      <c r="B98">
        <v>8779.0040000000008</v>
      </c>
      <c r="C98">
        <v>48066.884511215598</v>
      </c>
      <c r="F98">
        <v>8779.0040000000008</v>
      </c>
      <c r="G98">
        <v>719437.31826914998</v>
      </c>
      <c r="H98">
        <v>42454.587917806202</v>
      </c>
      <c r="I98">
        <v>761891.90518695698</v>
      </c>
      <c r="L98">
        <v>8779.0040000000008</v>
      </c>
      <c r="M98">
        <v>118762.486593394</v>
      </c>
      <c r="Z98" t="s">
        <v>190</v>
      </c>
    </row>
    <row r="99" spans="2:26" x14ac:dyDescent="0.25">
      <c r="B99">
        <v>8780.0040000000008</v>
      </c>
      <c r="C99">
        <v>48066.884511215598</v>
      </c>
      <c r="F99">
        <v>8780.0040000000008</v>
      </c>
      <c r="G99">
        <v>719539.20826915</v>
      </c>
      <c r="H99">
        <v>42459.422917806201</v>
      </c>
      <c r="I99">
        <v>761998.63118695701</v>
      </c>
      <c r="L99">
        <v>8780.0040000000008</v>
      </c>
      <c r="M99">
        <v>118793.93159339399</v>
      </c>
      <c r="Z99" t="s">
        <v>191</v>
      </c>
    </row>
    <row r="100" spans="2:26" x14ac:dyDescent="0.25">
      <c r="B100">
        <v>8781.0040000000008</v>
      </c>
      <c r="C100">
        <v>48066.884511215598</v>
      </c>
      <c r="F100">
        <v>8781.0040000000008</v>
      </c>
      <c r="G100">
        <v>719635.58826915</v>
      </c>
      <c r="H100">
        <v>42464.257917806201</v>
      </c>
      <c r="I100">
        <v>762099.84618695697</v>
      </c>
      <c r="L100">
        <v>8781.0040000000008</v>
      </c>
      <c r="M100">
        <v>118828.278593394</v>
      </c>
      <c r="Z100" t="s">
        <v>192</v>
      </c>
    </row>
    <row r="101" spans="2:26" x14ac:dyDescent="0.25">
      <c r="B101">
        <v>8782.0040000000008</v>
      </c>
      <c r="C101">
        <v>48066.884511215598</v>
      </c>
      <c r="F101">
        <v>8782.0040000000008</v>
      </c>
      <c r="G101">
        <v>719717.64426914998</v>
      </c>
      <c r="H101">
        <v>42469.093917806204</v>
      </c>
      <c r="I101">
        <v>762186.73818695697</v>
      </c>
      <c r="L101">
        <v>8782.0040000000008</v>
      </c>
      <c r="M101">
        <v>118858.13559339401</v>
      </c>
      <c r="Z101" t="s">
        <v>193</v>
      </c>
    </row>
    <row r="102" spans="2:26" x14ac:dyDescent="0.25">
      <c r="B102">
        <v>8783.0040000000008</v>
      </c>
      <c r="C102">
        <v>48066.884511215598</v>
      </c>
      <c r="F102">
        <v>8783.0040000000008</v>
      </c>
      <c r="G102">
        <v>719792.62026915001</v>
      </c>
      <c r="H102">
        <v>42473.928917806203</v>
      </c>
      <c r="I102">
        <v>762266.54918695695</v>
      </c>
      <c r="L102">
        <v>8783.0040000000008</v>
      </c>
      <c r="M102">
        <v>118882.608593394</v>
      </c>
      <c r="Z102" t="s">
        <v>194</v>
      </c>
    </row>
    <row r="103" spans="2:26" x14ac:dyDescent="0.25">
      <c r="Z103" t="s">
        <v>195</v>
      </c>
    </row>
    <row r="104" spans="2:26" x14ac:dyDescent="0.25">
      <c r="C104">
        <f>C102/3*2</f>
        <v>32044.589674143732</v>
      </c>
      <c r="Z104" t="s">
        <v>196</v>
      </c>
    </row>
    <row r="105" spans="2:26" x14ac:dyDescent="0.25">
      <c r="Z105" t="s">
        <v>197</v>
      </c>
    </row>
    <row r="106" spans="2:26" x14ac:dyDescent="0.25">
      <c r="Z106" t="s">
        <v>198</v>
      </c>
    </row>
    <row r="107" spans="2:26" x14ac:dyDescent="0.25">
      <c r="Z107" t="s">
        <v>199</v>
      </c>
    </row>
    <row r="108" spans="2:26" x14ac:dyDescent="0.25">
      <c r="Z108" t="s">
        <v>200</v>
      </c>
    </row>
    <row r="109" spans="2:26" x14ac:dyDescent="0.25">
      <c r="Z109" t="s">
        <v>201</v>
      </c>
    </row>
    <row r="110" spans="2:26" x14ac:dyDescent="0.25">
      <c r="Z110" t="s">
        <v>202</v>
      </c>
    </row>
    <row r="111" spans="2:26" x14ac:dyDescent="0.25">
      <c r="Z111" t="s">
        <v>203</v>
      </c>
    </row>
    <row r="112" spans="2:26" x14ac:dyDescent="0.25">
      <c r="Z112" t="s">
        <v>204</v>
      </c>
    </row>
    <row r="113" spans="26:26" x14ac:dyDescent="0.25">
      <c r="Z113" t="s">
        <v>205</v>
      </c>
    </row>
    <row r="114" spans="26:26" x14ac:dyDescent="0.25">
      <c r="Z114" t="s">
        <v>206</v>
      </c>
    </row>
    <row r="115" spans="26:26" x14ac:dyDescent="0.25">
      <c r="Z115" t="s">
        <v>207</v>
      </c>
    </row>
    <row r="116" spans="26:26" x14ac:dyDescent="0.25">
      <c r="Z116" t="s">
        <v>208</v>
      </c>
    </row>
    <row r="117" spans="26:26" x14ac:dyDescent="0.25">
      <c r="Z117" t="s">
        <v>209</v>
      </c>
    </row>
    <row r="118" spans="26:26" x14ac:dyDescent="0.25">
      <c r="Z118" t="s">
        <v>210</v>
      </c>
    </row>
    <row r="119" spans="26:26" x14ac:dyDescent="0.25">
      <c r="Z119" t="s">
        <v>211</v>
      </c>
    </row>
    <row r="120" spans="26:26" x14ac:dyDescent="0.25">
      <c r="Z120" t="s">
        <v>212</v>
      </c>
    </row>
    <row r="121" spans="26:26" x14ac:dyDescent="0.25">
      <c r="Z121" t="s">
        <v>213</v>
      </c>
    </row>
    <row r="122" spans="26:26" x14ac:dyDescent="0.25">
      <c r="Z122" t="s">
        <v>214</v>
      </c>
    </row>
    <row r="123" spans="26:26" x14ac:dyDescent="0.25">
      <c r="Z123" t="s">
        <v>215</v>
      </c>
    </row>
    <row r="124" spans="26:26" x14ac:dyDescent="0.25">
      <c r="Z124" t="s">
        <v>216</v>
      </c>
    </row>
    <row r="125" spans="26:26" x14ac:dyDescent="0.25">
      <c r="Z125" t="s">
        <v>217</v>
      </c>
    </row>
    <row r="126" spans="26:26" x14ac:dyDescent="0.25">
      <c r="Z126" t="s">
        <v>218</v>
      </c>
    </row>
    <row r="127" spans="26:26" x14ac:dyDescent="0.25">
      <c r="Z127" t="s">
        <v>219</v>
      </c>
    </row>
    <row r="128" spans="26:26" x14ac:dyDescent="0.25">
      <c r="Z128" t="s">
        <v>220</v>
      </c>
    </row>
    <row r="129" spans="26:26" x14ac:dyDescent="0.25">
      <c r="Z129" t="s">
        <v>221</v>
      </c>
    </row>
    <row r="130" spans="26:26" x14ac:dyDescent="0.25">
      <c r="Z130" t="s">
        <v>222</v>
      </c>
    </row>
    <row r="131" spans="26:26" x14ac:dyDescent="0.25">
      <c r="Z131" t="s">
        <v>223</v>
      </c>
    </row>
    <row r="132" spans="26:26" x14ac:dyDescent="0.25">
      <c r="Z132" t="s">
        <v>224</v>
      </c>
    </row>
    <row r="133" spans="26:26" x14ac:dyDescent="0.25">
      <c r="Z133" t="s">
        <v>225</v>
      </c>
    </row>
    <row r="134" spans="26:26" x14ac:dyDescent="0.25">
      <c r="Z134" t="s">
        <v>226</v>
      </c>
    </row>
    <row r="135" spans="26:26" x14ac:dyDescent="0.25">
      <c r="Z135" t="s">
        <v>227</v>
      </c>
    </row>
    <row r="136" spans="26:26" x14ac:dyDescent="0.25">
      <c r="Z136" t="s">
        <v>228</v>
      </c>
    </row>
    <row r="137" spans="26:26" x14ac:dyDescent="0.25">
      <c r="Z137" t="s">
        <v>229</v>
      </c>
    </row>
    <row r="138" spans="26:26" x14ac:dyDescent="0.25">
      <c r="Z138" t="s">
        <v>230</v>
      </c>
    </row>
    <row r="139" spans="26:26" x14ac:dyDescent="0.25">
      <c r="Z139" t="s">
        <v>231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214C-B11F-4037-84D6-1F0366458613}">
  <dimension ref="A2:M102"/>
  <sheetViews>
    <sheetView workbookViewId="0">
      <selection activeCell="M102" sqref="M102"/>
    </sheetView>
  </sheetViews>
  <sheetFormatPr defaultRowHeight="15" x14ac:dyDescent="0.25"/>
  <cols>
    <col min="8" max="8" width="17.5703125" bestFit="1" customWidth="1"/>
    <col min="9" max="9" width="21.42578125" bestFit="1" customWidth="1"/>
    <col min="10" max="10" width="23.85546875" bestFit="1" customWidth="1"/>
  </cols>
  <sheetData>
    <row r="2" spans="1:13" x14ac:dyDescent="0.25">
      <c r="A2" t="str">
        <f>"-20% solar production"</f>
        <v>-20% solar production</v>
      </c>
      <c r="H2" t="s">
        <v>39</v>
      </c>
      <c r="I2" t="s">
        <v>40</v>
      </c>
      <c r="J2" t="s">
        <v>41</v>
      </c>
      <c r="M2" t="s">
        <v>42</v>
      </c>
    </row>
    <row r="3" spans="1:13" x14ac:dyDescent="0.25">
      <c r="G3">
        <v>8702.0040000000008</v>
      </c>
      <c r="H3">
        <v>726237.25074537995</v>
      </c>
      <c r="I3">
        <v>42082.263657532101</v>
      </c>
      <c r="J3">
        <v>768319.514402912</v>
      </c>
      <c r="L3">
        <v>8702.0040000000008</v>
      </c>
      <c r="M3">
        <v>125330.460022638</v>
      </c>
    </row>
    <row r="4" spans="1:13" x14ac:dyDescent="0.25">
      <c r="G4">
        <v>8703.0040000000008</v>
      </c>
      <c r="H4">
        <v>726330.15974538005</v>
      </c>
      <c r="I4">
        <v>42087.0986575321</v>
      </c>
      <c r="J4">
        <v>768417.25940291199</v>
      </c>
      <c r="L4">
        <v>8703.0040000000008</v>
      </c>
      <c r="M4">
        <v>125356.810022638</v>
      </c>
    </row>
    <row r="5" spans="1:13" x14ac:dyDescent="0.25">
      <c r="D5">
        <f>H3/812443.718019131</f>
        <v>0.89389238249766234</v>
      </c>
      <c r="G5">
        <v>8704.0040000000008</v>
      </c>
      <c r="H5">
        <v>726452.42474537995</v>
      </c>
      <c r="I5">
        <v>42091.934657532103</v>
      </c>
      <c r="J5">
        <v>768544.35940291197</v>
      </c>
      <c r="L5">
        <v>8704.0040000000008</v>
      </c>
      <c r="M5">
        <v>125386.177022638</v>
      </c>
    </row>
    <row r="6" spans="1:13" x14ac:dyDescent="0.25">
      <c r="G6">
        <v>8705.0040000000008</v>
      </c>
      <c r="H6">
        <v>726606.78474538005</v>
      </c>
      <c r="I6">
        <v>42096.769657532102</v>
      </c>
      <c r="J6">
        <v>768703.55540291197</v>
      </c>
      <c r="L6">
        <v>8705.0040000000008</v>
      </c>
      <c r="M6">
        <v>125421.463022638</v>
      </c>
    </row>
    <row r="7" spans="1:13" x14ac:dyDescent="0.25">
      <c r="G7">
        <v>8706.0040000000008</v>
      </c>
      <c r="H7">
        <v>726765.54774537997</v>
      </c>
      <c r="I7">
        <v>42101.604657532102</v>
      </c>
      <c r="J7">
        <v>768867.15340291196</v>
      </c>
      <c r="L7">
        <v>8706.0040000000008</v>
      </c>
      <c r="M7">
        <v>125452.47002263799</v>
      </c>
    </row>
    <row r="8" spans="1:13" x14ac:dyDescent="0.25">
      <c r="G8">
        <v>8707.0040000000008</v>
      </c>
      <c r="H8">
        <v>726883.38274538005</v>
      </c>
      <c r="I8">
        <v>42106.440657532097</v>
      </c>
      <c r="J8">
        <v>768989.82340291201</v>
      </c>
      <c r="L8">
        <v>8707.0040000000008</v>
      </c>
      <c r="M8">
        <v>125474.164022638</v>
      </c>
    </row>
    <row r="9" spans="1:13" x14ac:dyDescent="0.25">
      <c r="G9">
        <v>8708.0040000000008</v>
      </c>
      <c r="H9">
        <v>726969.40474538004</v>
      </c>
      <c r="I9">
        <v>42111.275657532096</v>
      </c>
      <c r="J9">
        <v>769080.68140291201</v>
      </c>
      <c r="L9">
        <v>8708.0040000000008</v>
      </c>
      <c r="M9">
        <v>125491.123022638</v>
      </c>
    </row>
    <row r="10" spans="1:13" x14ac:dyDescent="0.25">
      <c r="G10">
        <v>8709.0040000000008</v>
      </c>
      <c r="H10">
        <v>727038.42974537995</v>
      </c>
      <c r="I10">
        <v>42116.111657532099</v>
      </c>
      <c r="J10">
        <v>769154.54040291195</v>
      </c>
      <c r="L10">
        <v>8709.0040000000008</v>
      </c>
      <c r="M10">
        <v>125504.529022638</v>
      </c>
    </row>
    <row r="11" spans="1:13" x14ac:dyDescent="0.25">
      <c r="G11">
        <v>8710.0040000000008</v>
      </c>
      <c r="H11">
        <v>727099.82874538004</v>
      </c>
      <c r="I11">
        <v>42120.946657532098</v>
      </c>
      <c r="J11">
        <v>769220.77540291206</v>
      </c>
      <c r="L11">
        <v>8710.0040000000008</v>
      </c>
      <c r="M11">
        <v>125515.802022638</v>
      </c>
    </row>
    <row r="12" spans="1:13" x14ac:dyDescent="0.25">
      <c r="G12">
        <v>8711.0040000000008</v>
      </c>
      <c r="H12">
        <v>727148.55774537998</v>
      </c>
      <c r="I12">
        <v>42125.781657532098</v>
      </c>
      <c r="J12">
        <v>769274.340402912</v>
      </c>
      <c r="L12">
        <v>8711.0040000000008</v>
      </c>
      <c r="M12">
        <v>125524.733022638</v>
      </c>
    </row>
    <row r="13" spans="1:13" x14ac:dyDescent="0.25">
      <c r="G13">
        <v>8712.0040000000008</v>
      </c>
      <c r="H13">
        <v>727195.25474538002</v>
      </c>
      <c r="I13">
        <v>42130.617657532101</v>
      </c>
      <c r="J13">
        <v>769325.87140291196</v>
      </c>
      <c r="L13">
        <v>8712.0040000000008</v>
      </c>
      <c r="M13">
        <v>125531.497022638</v>
      </c>
    </row>
    <row r="14" spans="1:13" x14ac:dyDescent="0.25">
      <c r="G14">
        <v>8713.0040000000008</v>
      </c>
      <c r="H14">
        <v>727232.95674537995</v>
      </c>
      <c r="I14">
        <v>42135.4526575321</v>
      </c>
      <c r="J14">
        <v>769368.40940291202</v>
      </c>
      <c r="L14">
        <v>8713.0040000000008</v>
      </c>
      <c r="M14">
        <v>125536.46602263799</v>
      </c>
    </row>
    <row r="15" spans="1:13" x14ac:dyDescent="0.25">
      <c r="G15">
        <v>8714.0040000000008</v>
      </c>
      <c r="H15">
        <v>727268.98774538003</v>
      </c>
      <c r="I15">
        <v>42140.287657532099</v>
      </c>
      <c r="J15">
        <v>769409.27540291206</v>
      </c>
      <c r="L15">
        <v>8714.0040000000008</v>
      </c>
      <c r="M15">
        <v>125541.426022638</v>
      </c>
    </row>
    <row r="16" spans="1:13" x14ac:dyDescent="0.25">
      <c r="G16">
        <v>8715.0040000000008</v>
      </c>
      <c r="H16">
        <v>727301.78574537998</v>
      </c>
      <c r="I16">
        <v>42145.123657532102</v>
      </c>
      <c r="J16">
        <v>769446.90940291202</v>
      </c>
      <c r="L16">
        <v>8715.0040000000008</v>
      </c>
      <c r="M16">
        <v>125546.559022638</v>
      </c>
    </row>
    <row r="17" spans="7:13" x14ac:dyDescent="0.25">
      <c r="G17">
        <v>8716.0040000000008</v>
      </c>
      <c r="H17">
        <v>727334.26074537996</v>
      </c>
      <c r="I17">
        <v>42149.958657532101</v>
      </c>
      <c r="J17">
        <v>769484.21940291196</v>
      </c>
      <c r="L17">
        <v>8716.0040000000008</v>
      </c>
      <c r="M17">
        <v>125550.96202263801</v>
      </c>
    </row>
    <row r="18" spans="7:13" x14ac:dyDescent="0.25">
      <c r="G18">
        <v>8717.0040000000008</v>
      </c>
      <c r="H18">
        <v>727370.03374538</v>
      </c>
      <c r="I18">
        <v>42154.794657532097</v>
      </c>
      <c r="J18">
        <v>769524.82740291196</v>
      </c>
      <c r="L18">
        <v>8717.0040000000008</v>
      </c>
      <c r="M18">
        <v>125555.51102263801</v>
      </c>
    </row>
    <row r="19" spans="7:13" x14ac:dyDescent="0.25">
      <c r="G19">
        <v>8718.0040000000008</v>
      </c>
      <c r="H19">
        <v>727414.28274537995</v>
      </c>
      <c r="I19">
        <v>42159.629657532103</v>
      </c>
      <c r="J19">
        <v>769573.91240291204</v>
      </c>
      <c r="L19">
        <v>8718.0040000000008</v>
      </c>
      <c r="M19">
        <v>125561.658022638</v>
      </c>
    </row>
    <row r="20" spans="7:13" x14ac:dyDescent="0.25">
      <c r="G20">
        <v>8719.0040000000008</v>
      </c>
      <c r="H20">
        <v>727465.27774537995</v>
      </c>
      <c r="I20">
        <v>42164.464657532102</v>
      </c>
      <c r="J20">
        <v>769629.74340291205</v>
      </c>
      <c r="L20">
        <v>8719.0040000000008</v>
      </c>
      <c r="M20">
        <v>125570.34902263799</v>
      </c>
    </row>
    <row r="21" spans="7:13" x14ac:dyDescent="0.25">
      <c r="G21">
        <v>8720.0040000000008</v>
      </c>
      <c r="H21">
        <v>727531.46674537996</v>
      </c>
      <c r="I21">
        <v>42169.300657532098</v>
      </c>
      <c r="J21">
        <v>769700.76740291202</v>
      </c>
      <c r="L21">
        <v>8720.0040000000008</v>
      </c>
      <c r="M21">
        <v>125583.181022638</v>
      </c>
    </row>
    <row r="22" spans="7:13" x14ac:dyDescent="0.25">
      <c r="G22">
        <v>8721.0040000000008</v>
      </c>
      <c r="H22">
        <v>727603.98474538</v>
      </c>
      <c r="I22">
        <v>42174.135657532097</v>
      </c>
      <c r="J22">
        <v>769778.12040291203</v>
      </c>
      <c r="L22">
        <v>8721.0040000000008</v>
      </c>
      <c r="M22">
        <v>125597.037022638</v>
      </c>
    </row>
    <row r="23" spans="7:13" x14ac:dyDescent="0.25">
      <c r="G23">
        <v>8722.0040000000008</v>
      </c>
      <c r="H23">
        <v>727670.88874537998</v>
      </c>
      <c r="I23">
        <v>42178.970657532103</v>
      </c>
      <c r="J23">
        <v>769849.86040291202</v>
      </c>
      <c r="L23">
        <v>8722.0040000000008</v>
      </c>
      <c r="M23">
        <v>125609.55302263801</v>
      </c>
    </row>
    <row r="24" spans="7:13" x14ac:dyDescent="0.25">
      <c r="G24">
        <v>8723.0040000000008</v>
      </c>
      <c r="H24">
        <v>727737.55474537995</v>
      </c>
      <c r="I24">
        <v>42183.806657532099</v>
      </c>
      <c r="J24">
        <v>769921.36140291195</v>
      </c>
      <c r="L24">
        <v>8723.0040000000008</v>
      </c>
      <c r="M24">
        <v>125622.293022638</v>
      </c>
    </row>
    <row r="25" spans="7:13" x14ac:dyDescent="0.25">
      <c r="G25">
        <v>8724.0040000000008</v>
      </c>
      <c r="H25">
        <v>727803.88374537998</v>
      </c>
      <c r="I25">
        <v>42188.641657532098</v>
      </c>
      <c r="J25">
        <v>769992.52540291206</v>
      </c>
      <c r="L25">
        <v>8724.0040000000008</v>
      </c>
      <c r="M25">
        <v>125635.187022638</v>
      </c>
    </row>
    <row r="26" spans="7:13" x14ac:dyDescent="0.25">
      <c r="G26">
        <v>8725.0040000000008</v>
      </c>
      <c r="H26">
        <v>727874.78374538</v>
      </c>
      <c r="I26">
        <v>42193.477657532101</v>
      </c>
      <c r="J26">
        <v>770068.26040291204</v>
      </c>
      <c r="L26">
        <v>8725.0040000000008</v>
      </c>
      <c r="M26">
        <v>125649.89402263799</v>
      </c>
    </row>
    <row r="27" spans="7:13" x14ac:dyDescent="0.25">
      <c r="G27">
        <v>8726.0040000000008</v>
      </c>
      <c r="H27">
        <v>727943.82874538004</v>
      </c>
      <c r="I27">
        <v>42198.3126575321</v>
      </c>
      <c r="J27">
        <v>770142.14140291198</v>
      </c>
      <c r="L27">
        <v>8726.0040000000008</v>
      </c>
      <c r="M27">
        <v>125665.03002263801</v>
      </c>
    </row>
    <row r="28" spans="7:13" x14ac:dyDescent="0.25">
      <c r="G28">
        <v>8727.0040000000008</v>
      </c>
      <c r="H28">
        <v>728029.42074537999</v>
      </c>
      <c r="I28">
        <v>42203.147657532099</v>
      </c>
      <c r="J28">
        <v>770232.568402912</v>
      </c>
      <c r="L28">
        <v>8727.0040000000008</v>
      </c>
      <c r="M28">
        <v>125686.812022638</v>
      </c>
    </row>
    <row r="29" spans="7:13" x14ac:dyDescent="0.25">
      <c r="G29">
        <v>8728.0040000000008</v>
      </c>
      <c r="H29">
        <v>728128.75874537998</v>
      </c>
      <c r="I29">
        <v>42207.983657532102</v>
      </c>
      <c r="J29">
        <v>770336.742402912</v>
      </c>
      <c r="L29">
        <v>8728.0040000000008</v>
      </c>
      <c r="M29">
        <v>125712.12502263801</v>
      </c>
    </row>
    <row r="30" spans="7:13" x14ac:dyDescent="0.25">
      <c r="G30">
        <v>8729.0040000000008</v>
      </c>
      <c r="H30">
        <v>728262.83074538002</v>
      </c>
      <c r="I30">
        <v>42212.818657532101</v>
      </c>
      <c r="J30">
        <v>770475.64940291201</v>
      </c>
      <c r="L30">
        <v>8729.0040000000008</v>
      </c>
      <c r="M30">
        <v>125746.363022638</v>
      </c>
    </row>
    <row r="31" spans="7:13" x14ac:dyDescent="0.25">
      <c r="G31">
        <v>8730.0040000000008</v>
      </c>
      <c r="H31">
        <v>728390.40074537997</v>
      </c>
      <c r="I31">
        <v>42217.653657532101</v>
      </c>
      <c r="J31">
        <v>770608.05440291204</v>
      </c>
      <c r="L31">
        <v>8730.0040000000008</v>
      </c>
      <c r="M31">
        <v>125778.18202263799</v>
      </c>
    </row>
    <row r="32" spans="7:13" x14ac:dyDescent="0.25">
      <c r="G32">
        <v>8731.0040000000008</v>
      </c>
      <c r="H32">
        <v>728496.07274537999</v>
      </c>
      <c r="I32">
        <v>42222.489657532104</v>
      </c>
      <c r="J32">
        <v>770718.56240291195</v>
      </c>
      <c r="L32">
        <v>8731.0040000000008</v>
      </c>
      <c r="M32">
        <v>125803.372022638</v>
      </c>
    </row>
    <row r="33" spans="7:13" x14ac:dyDescent="0.25">
      <c r="G33">
        <v>8732.0040000000008</v>
      </c>
      <c r="H33">
        <v>728602.48474538</v>
      </c>
      <c r="I33">
        <v>42227.324657532103</v>
      </c>
      <c r="J33">
        <v>770829.80940291204</v>
      </c>
      <c r="L33">
        <v>8732.0040000000008</v>
      </c>
      <c r="M33">
        <v>125824.222022638</v>
      </c>
    </row>
    <row r="34" spans="7:13" x14ac:dyDescent="0.25">
      <c r="G34">
        <v>8733.0040000000008</v>
      </c>
      <c r="H34">
        <v>728702.33274538</v>
      </c>
      <c r="I34">
        <v>42232.160657532098</v>
      </c>
      <c r="J34">
        <v>770934.49340291205</v>
      </c>
      <c r="L34">
        <v>8733.0040000000008</v>
      </c>
      <c r="M34">
        <v>125843.938022638</v>
      </c>
    </row>
    <row r="35" spans="7:13" x14ac:dyDescent="0.25">
      <c r="G35">
        <v>8734.0040000000008</v>
      </c>
      <c r="H35">
        <v>728781.15774537995</v>
      </c>
      <c r="I35">
        <v>42236.995657532098</v>
      </c>
      <c r="J35">
        <v>771018.15340291196</v>
      </c>
      <c r="L35">
        <v>8734.0040000000008</v>
      </c>
      <c r="M35">
        <v>125858.57602263799</v>
      </c>
    </row>
    <row r="36" spans="7:13" x14ac:dyDescent="0.25">
      <c r="G36">
        <v>8735.0040000000008</v>
      </c>
      <c r="H36">
        <v>728844.59874537995</v>
      </c>
      <c r="I36">
        <v>42241.830657532097</v>
      </c>
      <c r="J36">
        <v>771086.43040291197</v>
      </c>
      <c r="L36">
        <v>8735.0040000000008</v>
      </c>
      <c r="M36">
        <v>125870.706022638</v>
      </c>
    </row>
    <row r="37" spans="7:13" x14ac:dyDescent="0.25">
      <c r="G37">
        <v>8736.0040000000008</v>
      </c>
      <c r="H37">
        <v>728894.78574537998</v>
      </c>
      <c r="I37">
        <v>42246.6666575321</v>
      </c>
      <c r="J37">
        <v>771141.45140291203</v>
      </c>
      <c r="L37">
        <v>8736.0040000000008</v>
      </c>
      <c r="M37">
        <v>125879.263022638</v>
      </c>
    </row>
    <row r="38" spans="7:13" x14ac:dyDescent="0.25">
      <c r="G38">
        <v>8737.0040000000008</v>
      </c>
      <c r="H38">
        <v>728933.98374537996</v>
      </c>
      <c r="I38">
        <v>42251.501657532099</v>
      </c>
      <c r="J38">
        <v>771185.48540291202</v>
      </c>
      <c r="L38">
        <v>8737.0040000000008</v>
      </c>
      <c r="M38">
        <v>125885.999022638</v>
      </c>
    </row>
    <row r="39" spans="7:13" x14ac:dyDescent="0.25">
      <c r="G39">
        <v>8738.0040000000008</v>
      </c>
      <c r="H39">
        <v>728969.06274537998</v>
      </c>
      <c r="I39">
        <v>42256.336657532098</v>
      </c>
      <c r="J39">
        <v>771225.40040291206</v>
      </c>
      <c r="L39">
        <v>8738.0040000000008</v>
      </c>
      <c r="M39">
        <v>125892.240022638</v>
      </c>
    </row>
    <row r="40" spans="7:13" x14ac:dyDescent="0.25">
      <c r="G40">
        <v>8739.0040000000008</v>
      </c>
      <c r="H40">
        <v>728999.93774537998</v>
      </c>
      <c r="I40">
        <v>42261.172657532101</v>
      </c>
      <c r="J40">
        <v>771261.11040291202</v>
      </c>
      <c r="L40">
        <v>8739.0040000000008</v>
      </c>
      <c r="M40">
        <v>125897.711022638</v>
      </c>
    </row>
    <row r="41" spans="7:13" x14ac:dyDescent="0.25">
      <c r="G41">
        <v>8740.0040000000008</v>
      </c>
      <c r="H41">
        <v>729031.73874537996</v>
      </c>
      <c r="I41">
        <v>42266.0076575321</v>
      </c>
      <c r="J41">
        <v>771297.74640291196</v>
      </c>
      <c r="L41">
        <v>8740.0040000000008</v>
      </c>
      <c r="M41">
        <v>125902.990022638</v>
      </c>
    </row>
    <row r="42" spans="7:13" x14ac:dyDescent="0.25">
      <c r="G42">
        <v>8741.0040000000008</v>
      </c>
      <c r="H42">
        <v>729066.15474538004</v>
      </c>
      <c r="I42">
        <v>42270.843657532103</v>
      </c>
      <c r="J42">
        <v>771336.99840291205</v>
      </c>
      <c r="L42">
        <v>8741.0040000000008</v>
      </c>
      <c r="M42">
        <v>125908.634022638</v>
      </c>
    </row>
    <row r="43" spans="7:13" x14ac:dyDescent="0.25">
      <c r="G43">
        <v>8742.0040000000008</v>
      </c>
      <c r="H43">
        <v>729108.69574538001</v>
      </c>
      <c r="I43">
        <v>42275.678657532102</v>
      </c>
      <c r="J43">
        <v>771384.37440291198</v>
      </c>
      <c r="L43">
        <v>8742.0040000000008</v>
      </c>
      <c r="M43">
        <v>125915.435022638</v>
      </c>
    </row>
    <row r="44" spans="7:13" x14ac:dyDescent="0.25">
      <c r="G44">
        <v>8743.0040000000008</v>
      </c>
      <c r="H44">
        <v>729162.61474538001</v>
      </c>
      <c r="I44">
        <v>42280.513657532101</v>
      </c>
      <c r="J44">
        <v>771443.12940291199</v>
      </c>
      <c r="L44">
        <v>8743.0040000000008</v>
      </c>
      <c r="M44">
        <v>125924.050022638</v>
      </c>
    </row>
    <row r="45" spans="7:13" x14ac:dyDescent="0.25">
      <c r="G45">
        <v>8744.0040000000008</v>
      </c>
      <c r="H45">
        <v>729231.82574538002</v>
      </c>
      <c r="I45">
        <v>42285.349657532097</v>
      </c>
      <c r="J45">
        <v>771517.17540291196</v>
      </c>
      <c r="L45">
        <v>8744.0040000000008</v>
      </c>
      <c r="M45">
        <v>125936.482022638</v>
      </c>
    </row>
    <row r="46" spans="7:13" x14ac:dyDescent="0.25">
      <c r="G46">
        <v>8745.0040000000008</v>
      </c>
      <c r="H46">
        <v>729304.83074538002</v>
      </c>
      <c r="I46">
        <v>42290.184657532103</v>
      </c>
      <c r="J46">
        <v>771595.01540291205</v>
      </c>
      <c r="L46">
        <v>8745.0040000000008</v>
      </c>
      <c r="M46">
        <v>125949.82202263801</v>
      </c>
    </row>
    <row r="47" spans="7:13" x14ac:dyDescent="0.25">
      <c r="G47">
        <v>8746.0040000000008</v>
      </c>
      <c r="H47">
        <v>729377.75874537998</v>
      </c>
      <c r="I47">
        <v>42295.019657532102</v>
      </c>
      <c r="J47">
        <v>771672.77840291196</v>
      </c>
      <c r="L47">
        <v>8746.0040000000008</v>
      </c>
      <c r="M47">
        <v>125962.79902263801</v>
      </c>
    </row>
    <row r="48" spans="7:13" x14ac:dyDescent="0.25">
      <c r="G48">
        <v>8747.0040000000008</v>
      </c>
      <c r="H48">
        <v>729455.69674537994</v>
      </c>
      <c r="I48">
        <v>42299.855657532098</v>
      </c>
      <c r="J48">
        <v>771755.55240291206</v>
      </c>
      <c r="L48">
        <v>8747.0040000000008</v>
      </c>
      <c r="M48">
        <v>125976.80702263799</v>
      </c>
    </row>
    <row r="49" spans="7:13" x14ac:dyDescent="0.25">
      <c r="G49">
        <v>8748.0040000000008</v>
      </c>
      <c r="H49">
        <v>729533.46474537998</v>
      </c>
      <c r="I49">
        <v>42304.690657532097</v>
      </c>
      <c r="J49">
        <v>771838.15640291199</v>
      </c>
      <c r="L49">
        <v>8748.0040000000008</v>
      </c>
      <c r="M49">
        <v>125990.711022638</v>
      </c>
    </row>
    <row r="50" spans="7:13" x14ac:dyDescent="0.25">
      <c r="G50">
        <v>8749.0040000000008</v>
      </c>
      <c r="H50">
        <v>729613.04674538004</v>
      </c>
      <c r="I50">
        <v>42309.5266575321</v>
      </c>
      <c r="J50">
        <v>771922.57240291196</v>
      </c>
      <c r="L50">
        <v>8749.0040000000008</v>
      </c>
      <c r="M50">
        <v>126004.61702263801</v>
      </c>
    </row>
    <row r="51" spans="7:13" x14ac:dyDescent="0.25">
      <c r="G51">
        <v>8750.0040000000008</v>
      </c>
      <c r="H51">
        <v>729694.18474537996</v>
      </c>
      <c r="I51">
        <v>42314.361657532099</v>
      </c>
      <c r="J51">
        <v>772008.546402912</v>
      </c>
      <c r="L51">
        <v>8750.0040000000008</v>
      </c>
      <c r="M51">
        <v>126018.740022638</v>
      </c>
    </row>
    <row r="52" spans="7:13" x14ac:dyDescent="0.25">
      <c r="G52">
        <v>8751.0040000000008</v>
      </c>
      <c r="H52">
        <v>729781.89974538004</v>
      </c>
      <c r="I52">
        <v>42319.196657532098</v>
      </c>
      <c r="J52">
        <v>772101.09640291205</v>
      </c>
      <c r="L52">
        <v>8751.0040000000008</v>
      </c>
      <c r="M52">
        <v>126032.721022638</v>
      </c>
    </row>
    <row r="53" spans="7:13" x14ac:dyDescent="0.25">
      <c r="G53">
        <v>8752.0040000000008</v>
      </c>
      <c r="H53">
        <v>729888.97574538004</v>
      </c>
      <c r="I53">
        <v>42324.032657532101</v>
      </c>
      <c r="J53">
        <v>772213.00840291195</v>
      </c>
      <c r="L53">
        <v>8752.0040000000008</v>
      </c>
      <c r="M53">
        <v>126049.501022638</v>
      </c>
    </row>
    <row r="54" spans="7:13" x14ac:dyDescent="0.25">
      <c r="G54">
        <v>8753.0040000000008</v>
      </c>
      <c r="H54">
        <v>730021.92374538002</v>
      </c>
      <c r="I54">
        <v>42328.867657532101</v>
      </c>
      <c r="J54">
        <v>772350.791402912</v>
      </c>
      <c r="L54">
        <v>8753.0040000000008</v>
      </c>
      <c r="M54">
        <v>126070.850022638</v>
      </c>
    </row>
    <row r="55" spans="7:13" x14ac:dyDescent="0.25">
      <c r="G55">
        <v>8754.0040000000008</v>
      </c>
      <c r="H55">
        <v>730150.92174538004</v>
      </c>
      <c r="I55">
        <v>42333.7026575321</v>
      </c>
      <c r="J55">
        <v>772484.62540291203</v>
      </c>
      <c r="L55">
        <v>8754.0040000000008</v>
      </c>
      <c r="M55">
        <v>126091.15502263801</v>
      </c>
    </row>
    <row r="56" spans="7:13" x14ac:dyDescent="0.25">
      <c r="G56">
        <v>8755.0040000000008</v>
      </c>
      <c r="H56">
        <v>730249.57374538004</v>
      </c>
      <c r="I56">
        <v>42338.538657532103</v>
      </c>
      <c r="J56">
        <v>772588.112402912</v>
      </c>
      <c r="L56">
        <v>8755.0040000000008</v>
      </c>
      <c r="M56">
        <v>126105.38302263799</v>
      </c>
    </row>
    <row r="57" spans="7:13" x14ac:dyDescent="0.25">
      <c r="G57">
        <v>8756.0040000000008</v>
      </c>
      <c r="H57">
        <v>730352.62474538002</v>
      </c>
      <c r="I57">
        <v>42343.373657532102</v>
      </c>
      <c r="J57">
        <v>772695.99840291205</v>
      </c>
      <c r="L57">
        <v>8756.0040000000008</v>
      </c>
      <c r="M57">
        <v>126120.161022638</v>
      </c>
    </row>
    <row r="58" spans="7:13" x14ac:dyDescent="0.25">
      <c r="G58">
        <v>8757.0040000000008</v>
      </c>
      <c r="H58">
        <v>730436.47974538</v>
      </c>
      <c r="I58">
        <v>42348.209657532097</v>
      </c>
      <c r="J58">
        <v>772784.68940291204</v>
      </c>
      <c r="L58">
        <v>8757.0040000000008</v>
      </c>
      <c r="M58">
        <v>126132.035022638</v>
      </c>
    </row>
    <row r="59" spans="7:13" x14ac:dyDescent="0.25">
      <c r="G59">
        <v>8758.0040000000008</v>
      </c>
      <c r="H59">
        <v>730513.13174538</v>
      </c>
      <c r="I59">
        <v>42353.044657532097</v>
      </c>
      <c r="J59">
        <v>772866.17640291201</v>
      </c>
      <c r="L59">
        <v>8758.0040000000008</v>
      </c>
      <c r="M59">
        <v>126143.165022638</v>
      </c>
    </row>
    <row r="60" spans="7:13" x14ac:dyDescent="0.25">
      <c r="G60">
        <v>8759.0040000000008</v>
      </c>
      <c r="H60">
        <v>730574.27274537995</v>
      </c>
      <c r="I60">
        <v>42357.879657532103</v>
      </c>
      <c r="J60">
        <v>772932.15240291203</v>
      </c>
      <c r="L60">
        <v>8759.0040000000008</v>
      </c>
      <c r="M60">
        <v>126152.79602263799</v>
      </c>
    </row>
    <row r="61" spans="7:13" x14ac:dyDescent="0.25">
      <c r="G61">
        <v>8760.0040000000008</v>
      </c>
      <c r="H61">
        <v>730622.05874538003</v>
      </c>
      <c r="I61">
        <v>42362.715657532099</v>
      </c>
      <c r="J61">
        <v>772984.77440291201</v>
      </c>
      <c r="L61">
        <v>8760.0040000000008</v>
      </c>
      <c r="M61">
        <v>126161.26502263801</v>
      </c>
    </row>
    <row r="62" spans="7:13" x14ac:dyDescent="0.25">
      <c r="G62">
        <v>8761.0040000000008</v>
      </c>
      <c r="H62">
        <v>730658.69474537997</v>
      </c>
      <c r="I62">
        <v>42367.550657532098</v>
      </c>
      <c r="J62">
        <v>773026.24540291203</v>
      </c>
      <c r="L62">
        <v>8761.0040000000008</v>
      </c>
      <c r="M62">
        <v>126168.56502263799</v>
      </c>
    </row>
    <row r="63" spans="7:13" x14ac:dyDescent="0.25">
      <c r="G63">
        <v>8762.0040000000008</v>
      </c>
      <c r="H63">
        <v>730685.58474537998</v>
      </c>
      <c r="I63">
        <v>42372.385657532097</v>
      </c>
      <c r="J63">
        <v>773057.970402912</v>
      </c>
      <c r="L63">
        <v>8762.0040000000008</v>
      </c>
      <c r="M63">
        <v>126174.207022638</v>
      </c>
    </row>
    <row r="64" spans="7:13" x14ac:dyDescent="0.25">
      <c r="G64">
        <v>8763.0040000000008</v>
      </c>
      <c r="H64">
        <v>730695.37074537994</v>
      </c>
      <c r="I64">
        <v>42377.2216575321</v>
      </c>
      <c r="J64">
        <v>773072.59240291198</v>
      </c>
      <c r="L64">
        <v>8763.0040000000008</v>
      </c>
      <c r="M64">
        <v>126178.820022638</v>
      </c>
    </row>
    <row r="65" spans="7:13" x14ac:dyDescent="0.25">
      <c r="G65">
        <v>8764.0040000000008</v>
      </c>
      <c r="H65">
        <v>730698.93274537998</v>
      </c>
      <c r="I65">
        <v>42382.056657532099</v>
      </c>
      <c r="J65">
        <v>773080.98940291198</v>
      </c>
      <c r="L65">
        <v>8764.0040000000008</v>
      </c>
      <c r="M65">
        <v>126183.790022638</v>
      </c>
    </row>
    <row r="66" spans="7:13" x14ac:dyDescent="0.25">
      <c r="G66">
        <v>8765.0040000000008</v>
      </c>
      <c r="H66">
        <v>730706.95674537995</v>
      </c>
      <c r="I66">
        <v>42386.892657532102</v>
      </c>
      <c r="J66">
        <v>773093.84940291196</v>
      </c>
      <c r="L66">
        <v>8765.0040000000008</v>
      </c>
      <c r="M66">
        <v>126189.043022638</v>
      </c>
    </row>
    <row r="67" spans="7:13" x14ac:dyDescent="0.25">
      <c r="G67">
        <v>8766.0040000000008</v>
      </c>
      <c r="H67">
        <v>730724.30874538003</v>
      </c>
      <c r="I67">
        <v>42391.727657532101</v>
      </c>
      <c r="J67">
        <v>773116.036402912</v>
      </c>
      <c r="L67">
        <v>8766.0040000000008</v>
      </c>
      <c r="M67">
        <v>126196.450022638</v>
      </c>
    </row>
    <row r="68" spans="7:13" x14ac:dyDescent="0.25">
      <c r="G68">
        <v>8767.0040000000008</v>
      </c>
      <c r="H68">
        <v>730765.92974537995</v>
      </c>
      <c r="I68">
        <v>42396.5626575321</v>
      </c>
      <c r="J68">
        <v>773162.49340291205</v>
      </c>
      <c r="L68">
        <v>8767.0040000000008</v>
      </c>
      <c r="M68">
        <v>126205.65502263801</v>
      </c>
    </row>
    <row r="69" spans="7:13" x14ac:dyDescent="0.25">
      <c r="G69">
        <v>8768.0040000000008</v>
      </c>
      <c r="H69">
        <v>730825.96874538006</v>
      </c>
      <c r="I69">
        <v>42401.398657532103</v>
      </c>
      <c r="J69">
        <v>773227.36640291195</v>
      </c>
      <c r="L69">
        <v>8768.0040000000008</v>
      </c>
      <c r="M69">
        <v>126217.085022638</v>
      </c>
    </row>
    <row r="70" spans="7:13" x14ac:dyDescent="0.25">
      <c r="G70">
        <v>8769.0040000000008</v>
      </c>
      <c r="H70">
        <v>730895.33774538001</v>
      </c>
      <c r="I70">
        <v>42406.233657532102</v>
      </c>
      <c r="J70">
        <v>773301.57140291203</v>
      </c>
      <c r="L70">
        <v>8769.0040000000008</v>
      </c>
      <c r="M70">
        <v>126230.64002263801</v>
      </c>
    </row>
    <row r="71" spans="7:13" x14ac:dyDescent="0.25">
      <c r="G71">
        <v>8770.0040000000008</v>
      </c>
      <c r="H71">
        <v>730987.23174537998</v>
      </c>
      <c r="I71">
        <v>42411.068657532101</v>
      </c>
      <c r="J71">
        <v>773398.30140291201</v>
      </c>
      <c r="L71">
        <v>8770.0040000000008</v>
      </c>
      <c r="M71">
        <v>126248.581022638</v>
      </c>
    </row>
    <row r="72" spans="7:13" x14ac:dyDescent="0.25">
      <c r="G72">
        <v>8771.0040000000008</v>
      </c>
      <c r="H72">
        <v>731088.28174538002</v>
      </c>
      <c r="I72">
        <v>42415.904657532097</v>
      </c>
      <c r="J72">
        <v>773504.18540291197</v>
      </c>
      <c r="L72">
        <v>8771.0040000000008</v>
      </c>
      <c r="M72">
        <v>126269.444022638</v>
      </c>
    </row>
    <row r="73" spans="7:13" x14ac:dyDescent="0.25">
      <c r="G73">
        <v>8772.0040000000008</v>
      </c>
      <c r="H73">
        <v>731196.87974538002</v>
      </c>
      <c r="I73">
        <v>42420.739657532104</v>
      </c>
      <c r="J73">
        <v>773617.62040291203</v>
      </c>
      <c r="L73">
        <v>8772.0040000000008</v>
      </c>
      <c r="M73">
        <v>126293.410022638</v>
      </c>
    </row>
    <row r="74" spans="7:13" x14ac:dyDescent="0.25">
      <c r="G74">
        <v>8773.0040000000008</v>
      </c>
      <c r="H74">
        <v>731316.74674537999</v>
      </c>
      <c r="I74">
        <v>42425.575657532099</v>
      </c>
      <c r="J74">
        <v>773742.32240291196</v>
      </c>
      <c r="L74">
        <v>8773.0040000000008</v>
      </c>
      <c r="M74">
        <v>126320.711022638</v>
      </c>
    </row>
    <row r="75" spans="7:13" x14ac:dyDescent="0.25">
      <c r="G75">
        <v>8774.0040000000008</v>
      </c>
      <c r="H75">
        <v>731431.38574537996</v>
      </c>
      <c r="I75">
        <v>42430.410657532098</v>
      </c>
      <c r="J75">
        <v>773861.796402912</v>
      </c>
      <c r="L75">
        <v>8774.0040000000008</v>
      </c>
      <c r="M75">
        <v>126348.732022638</v>
      </c>
    </row>
    <row r="76" spans="7:13" x14ac:dyDescent="0.25">
      <c r="G76">
        <v>8775.0040000000008</v>
      </c>
      <c r="H76">
        <v>731547.89374537999</v>
      </c>
      <c r="I76">
        <v>42435.245657532098</v>
      </c>
      <c r="J76">
        <v>773983.14040291205</v>
      </c>
      <c r="L76">
        <v>8775.0040000000008</v>
      </c>
      <c r="M76">
        <v>126378.078022638</v>
      </c>
    </row>
    <row r="77" spans="7:13" x14ac:dyDescent="0.25">
      <c r="G77">
        <v>8776.0040000000008</v>
      </c>
      <c r="H77">
        <v>731679.61274538003</v>
      </c>
      <c r="I77">
        <v>42440.081657532101</v>
      </c>
      <c r="J77">
        <v>774119.69440291205</v>
      </c>
      <c r="L77">
        <v>8776.0040000000008</v>
      </c>
      <c r="M77">
        <v>126411.487022638</v>
      </c>
    </row>
    <row r="78" spans="7:13" x14ac:dyDescent="0.25">
      <c r="G78">
        <v>8777.0040000000008</v>
      </c>
      <c r="H78">
        <v>731828.02274537995</v>
      </c>
      <c r="I78">
        <v>42444.9166575321</v>
      </c>
      <c r="J78">
        <v>774272.93940291204</v>
      </c>
      <c r="L78">
        <v>8777.0040000000008</v>
      </c>
      <c r="M78">
        <v>126451.34902263799</v>
      </c>
    </row>
    <row r="79" spans="7:13" x14ac:dyDescent="0.25">
      <c r="G79">
        <v>8778.0040000000008</v>
      </c>
      <c r="H79">
        <v>731969.38874537998</v>
      </c>
      <c r="I79">
        <v>42449.751657532099</v>
      </c>
      <c r="J79">
        <v>774419.14140291198</v>
      </c>
      <c r="L79">
        <v>8778.0040000000008</v>
      </c>
      <c r="M79">
        <v>126491.942022638</v>
      </c>
    </row>
    <row r="80" spans="7:13" x14ac:dyDescent="0.25">
      <c r="G80">
        <v>8779.0040000000008</v>
      </c>
      <c r="H80">
        <v>732086.70974537998</v>
      </c>
      <c r="I80">
        <v>42454.587657532102</v>
      </c>
      <c r="J80">
        <v>774541.29740291205</v>
      </c>
      <c r="L80">
        <v>8779.0040000000008</v>
      </c>
      <c r="M80">
        <v>126527.491022638</v>
      </c>
    </row>
    <row r="81" spans="7:13" x14ac:dyDescent="0.25">
      <c r="G81">
        <v>8780.0040000000008</v>
      </c>
      <c r="H81">
        <v>732188.59974537999</v>
      </c>
      <c r="I81">
        <v>42459.422657532101</v>
      </c>
      <c r="J81">
        <v>774648.02240291203</v>
      </c>
      <c r="L81">
        <v>8780.0040000000008</v>
      </c>
      <c r="M81">
        <v>126558.93602263799</v>
      </c>
    </row>
    <row r="82" spans="7:13" x14ac:dyDescent="0.25">
      <c r="G82">
        <v>8781.0040000000008</v>
      </c>
      <c r="H82">
        <v>732284.97974538</v>
      </c>
      <c r="I82">
        <v>42464.258657532097</v>
      </c>
      <c r="J82">
        <v>774749.23840291204</v>
      </c>
      <c r="L82">
        <v>8781.0040000000008</v>
      </c>
      <c r="M82">
        <v>126593.283022638</v>
      </c>
    </row>
    <row r="83" spans="7:13" x14ac:dyDescent="0.25">
      <c r="G83">
        <v>8782.0040000000008</v>
      </c>
      <c r="H83">
        <v>732367.03674538003</v>
      </c>
      <c r="I83">
        <v>42469.093657532103</v>
      </c>
      <c r="J83">
        <v>774836.13040291204</v>
      </c>
      <c r="L83">
        <v>8782.0040000000008</v>
      </c>
      <c r="M83">
        <v>126623.14002263801</v>
      </c>
    </row>
    <row r="84" spans="7:13" x14ac:dyDescent="0.25">
      <c r="G84">
        <v>8783.0040000000008</v>
      </c>
      <c r="H84">
        <v>732442.01174538</v>
      </c>
      <c r="I84">
        <v>42473.928657532102</v>
      </c>
      <c r="J84">
        <v>774915.94140291202</v>
      </c>
      <c r="L84">
        <v>8783.0040000000008</v>
      </c>
      <c r="M84">
        <v>126647.613022638</v>
      </c>
    </row>
    <row r="85" spans="7:13" x14ac:dyDescent="0.25">
      <c r="G85">
        <v>8784.0040000000008</v>
      </c>
      <c r="H85">
        <v>732513.86974538001</v>
      </c>
      <c r="I85">
        <v>42478.764657532098</v>
      </c>
      <c r="J85">
        <v>774992.63440291199</v>
      </c>
      <c r="L85">
        <v>8784.0040000000008</v>
      </c>
      <c r="M85">
        <v>126647.613022638</v>
      </c>
    </row>
    <row r="86" spans="7:13" x14ac:dyDescent="0.25">
      <c r="G86">
        <v>8785.0040000000008</v>
      </c>
      <c r="H86">
        <v>732581.23774538003</v>
      </c>
      <c r="I86">
        <v>42483.599657532097</v>
      </c>
      <c r="J86">
        <v>775064.83740291197</v>
      </c>
      <c r="L86">
        <v>8785.0040000000008</v>
      </c>
      <c r="M86">
        <v>126647.613022638</v>
      </c>
    </row>
    <row r="87" spans="7:13" x14ac:dyDescent="0.25">
      <c r="G87">
        <v>8786.0040000000008</v>
      </c>
      <c r="H87">
        <v>732637.96274538001</v>
      </c>
      <c r="I87">
        <v>42488.434657532103</v>
      </c>
      <c r="J87">
        <v>775126.39840291196</v>
      </c>
      <c r="L87">
        <v>8786.0040000000008</v>
      </c>
      <c r="M87">
        <v>126647.613022638</v>
      </c>
    </row>
    <row r="88" spans="7:13" x14ac:dyDescent="0.25">
      <c r="G88">
        <v>8787.0040000000008</v>
      </c>
      <c r="H88">
        <v>732683.07674537995</v>
      </c>
      <c r="I88">
        <v>42493.270657532099</v>
      </c>
      <c r="J88">
        <v>775176.34740291198</v>
      </c>
      <c r="L88">
        <v>8787.0040000000008</v>
      </c>
      <c r="M88">
        <v>126647.613022638</v>
      </c>
    </row>
    <row r="89" spans="7:13" x14ac:dyDescent="0.25">
      <c r="G89">
        <v>8788.0040000000008</v>
      </c>
      <c r="H89">
        <v>732723.60774538002</v>
      </c>
      <c r="I89">
        <v>42498.105657532098</v>
      </c>
      <c r="J89">
        <v>775221.71340291202</v>
      </c>
      <c r="L89">
        <v>8788.0040000000008</v>
      </c>
      <c r="M89">
        <v>126647.613022638</v>
      </c>
    </row>
    <row r="90" spans="7:13" x14ac:dyDescent="0.25">
      <c r="G90">
        <v>8789.0040000000008</v>
      </c>
      <c r="H90">
        <v>732762.97974538</v>
      </c>
      <c r="I90">
        <v>42502.941657532101</v>
      </c>
      <c r="J90">
        <v>775265.921402912</v>
      </c>
      <c r="L90">
        <v>8789.0040000000008</v>
      </c>
      <c r="M90">
        <v>126647.613022638</v>
      </c>
    </row>
    <row r="91" spans="7:13" x14ac:dyDescent="0.25">
      <c r="G91">
        <v>8790.0040000000008</v>
      </c>
      <c r="H91">
        <v>732801.26074537996</v>
      </c>
      <c r="I91">
        <v>42507.7766575321</v>
      </c>
      <c r="J91">
        <v>775309.03740291204</v>
      </c>
      <c r="L91">
        <v>8790.0040000000008</v>
      </c>
      <c r="M91">
        <v>126647.613022638</v>
      </c>
    </row>
    <row r="92" spans="7:13" x14ac:dyDescent="0.25">
      <c r="G92">
        <v>8791.0040000000008</v>
      </c>
      <c r="H92">
        <v>732844.54374538001</v>
      </c>
      <c r="I92">
        <v>42512.611657532099</v>
      </c>
      <c r="J92">
        <v>775357.15540291194</v>
      </c>
      <c r="L92">
        <v>8791.0040000000008</v>
      </c>
      <c r="M92">
        <v>126647.613022638</v>
      </c>
    </row>
    <row r="93" spans="7:13" x14ac:dyDescent="0.25">
      <c r="G93">
        <v>8792.0040000000008</v>
      </c>
      <c r="H93">
        <v>732889.62274538004</v>
      </c>
      <c r="I93">
        <v>42517.447657532102</v>
      </c>
      <c r="J93">
        <v>775407.06940291205</v>
      </c>
      <c r="L93">
        <v>8792.0040000000008</v>
      </c>
      <c r="M93">
        <v>126647.613022638</v>
      </c>
    </row>
    <row r="94" spans="7:13" x14ac:dyDescent="0.25">
      <c r="G94">
        <v>8793.0040000000008</v>
      </c>
      <c r="H94">
        <v>732944.97074538004</v>
      </c>
      <c r="I94">
        <v>42522.282657532101</v>
      </c>
      <c r="J94">
        <v>775467.25340291206</v>
      </c>
      <c r="L94">
        <v>8793.0040000000008</v>
      </c>
      <c r="M94">
        <v>126647.613022638</v>
      </c>
    </row>
    <row r="95" spans="7:13" x14ac:dyDescent="0.25">
      <c r="G95">
        <v>8794.0040000000008</v>
      </c>
      <c r="H95">
        <v>733008.99874537997</v>
      </c>
      <c r="I95">
        <v>42527.117657532101</v>
      </c>
      <c r="J95">
        <v>775536.11640291195</v>
      </c>
      <c r="L95">
        <v>8794.0040000000008</v>
      </c>
      <c r="M95">
        <v>126647.613022638</v>
      </c>
    </row>
    <row r="96" spans="7:13" x14ac:dyDescent="0.25">
      <c r="G96">
        <v>8795.0040000000008</v>
      </c>
      <c r="H96">
        <v>733077.74074538006</v>
      </c>
      <c r="I96">
        <v>42531.953657532104</v>
      </c>
      <c r="J96">
        <v>775609.69440291205</v>
      </c>
      <c r="L96">
        <v>8795.0040000000008</v>
      </c>
      <c r="M96">
        <v>126647.613022638</v>
      </c>
    </row>
    <row r="97" spans="7:13" x14ac:dyDescent="0.25">
      <c r="G97">
        <v>8796.0040000000008</v>
      </c>
      <c r="H97">
        <v>733146.54774537997</v>
      </c>
      <c r="I97">
        <v>42536.788657532103</v>
      </c>
      <c r="J97">
        <v>775683.33640291204</v>
      </c>
      <c r="L97">
        <v>8796.0040000000008</v>
      </c>
      <c r="M97">
        <v>126647.613022638</v>
      </c>
    </row>
    <row r="98" spans="7:13" x14ac:dyDescent="0.25">
      <c r="G98">
        <v>8797.0040000000008</v>
      </c>
      <c r="H98">
        <v>733206.60874537996</v>
      </c>
      <c r="I98">
        <v>42541.624657532098</v>
      </c>
      <c r="J98">
        <v>775748.23340291204</v>
      </c>
      <c r="L98">
        <v>8797.0040000000008</v>
      </c>
      <c r="M98">
        <v>126647.613022638</v>
      </c>
    </row>
    <row r="99" spans="7:13" x14ac:dyDescent="0.25">
      <c r="G99">
        <v>8798.0040000000008</v>
      </c>
      <c r="H99">
        <v>733272.25874537998</v>
      </c>
      <c r="I99">
        <v>42546.459657532097</v>
      </c>
      <c r="J99">
        <v>775818.71840291203</v>
      </c>
      <c r="L99">
        <v>8798.0040000000008</v>
      </c>
      <c r="M99">
        <v>126647.613022638</v>
      </c>
    </row>
    <row r="100" spans="7:13" x14ac:dyDescent="0.25">
      <c r="G100">
        <v>8799.0040000000008</v>
      </c>
      <c r="H100">
        <v>733355.00874537998</v>
      </c>
      <c r="I100">
        <v>42551.294657532097</v>
      </c>
      <c r="J100">
        <v>775906.30340291199</v>
      </c>
      <c r="L100">
        <v>8799.0040000000008</v>
      </c>
      <c r="M100">
        <v>126647.613022638</v>
      </c>
    </row>
    <row r="101" spans="7:13" x14ac:dyDescent="0.25">
      <c r="G101">
        <v>8800.0040000000008</v>
      </c>
      <c r="H101">
        <v>733471.86674537999</v>
      </c>
      <c r="I101">
        <v>42556.1306575321</v>
      </c>
      <c r="J101">
        <v>776027.99740291201</v>
      </c>
      <c r="L101">
        <v>8800.0040000000008</v>
      </c>
      <c r="M101">
        <v>126647.613022638</v>
      </c>
    </row>
    <row r="102" spans="7:13" x14ac:dyDescent="0.25">
      <c r="G102">
        <v>8801.0040000000008</v>
      </c>
      <c r="H102">
        <v>733619.54574537999</v>
      </c>
      <c r="I102">
        <v>42560.965657532099</v>
      </c>
      <c r="J102">
        <v>776180.51140291197</v>
      </c>
      <c r="L102">
        <v>8801.0040000000008</v>
      </c>
      <c r="M102">
        <v>126647.613022638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206E-6D65-4A13-A80E-6AEFDA1FD106}">
  <dimension ref="B2:M102"/>
  <sheetViews>
    <sheetView topLeftCell="A17" workbookViewId="0">
      <selection activeCell="B8" sqref="B8"/>
    </sheetView>
  </sheetViews>
  <sheetFormatPr defaultRowHeight="15" x14ac:dyDescent="0.25"/>
  <cols>
    <col min="8" max="8" width="15" customWidth="1"/>
  </cols>
  <sheetData>
    <row r="2" spans="2:13" x14ac:dyDescent="0.25">
      <c r="B2" t="s">
        <v>68</v>
      </c>
      <c r="H2" t="s">
        <v>39</v>
      </c>
      <c r="I2" t="s">
        <v>40</v>
      </c>
      <c r="J2" t="s">
        <v>41</v>
      </c>
      <c r="M2" t="s">
        <v>42</v>
      </c>
    </row>
    <row r="3" spans="2:13" x14ac:dyDescent="0.25">
      <c r="B3" t="s">
        <v>82</v>
      </c>
      <c r="G3">
        <v>8684.0040000000008</v>
      </c>
      <c r="H3">
        <v>811165.14601913095</v>
      </c>
      <c r="I3">
        <v>0</v>
      </c>
      <c r="J3">
        <v>811165.14601913095</v>
      </c>
      <c r="L3">
        <v>8684.0040000000008</v>
      </c>
      <c r="M3">
        <v>155950.30328558601</v>
      </c>
    </row>
    <row r="4" spans="2:13" x14ac:dyDescent="0.25">
      <c r="B4" t="s">
        <v>86</v>
      </c>
      <c r="G4">
        <v>8685.0040000000008</v>
      </c>
      <c r="H4">
        <v>811246.79901913099</v>
      </c>
      <c r="I4">
        <v>0</v>
      </c>
      <c r="J4">
        <v>811246.79901913099</v>
      </c>
      <c r="L4">
        <v>8685.0040000000008</v>
      </c>
      <c r="M4">
        <v>155963.97028558599</v>
      </c>
    </row>
    <row r="5" spans="2:13" x14ac:dyDescent="0.25">
      <c r="B5" t="s">
        <v>232</v>
      </c>
      <c r="G5">
        <v>8686.0040000000008</v>
      </c>
      <c r="H5">
        <v>811313.67201913102</v>
      </c>
      <c r="I5">
        <v>0</v>
      </c>
      <c r="J5">
        <v>811313.67201913102</v>
      </c>
      <c r="L5">
        <v>8686.0040000000008</v>
      </c>
      <c r="M5">
        <v>155975.510285586</v>
      </c>
    </row>
    <row r="6" spans="2:13" x14ac:dyDescent="0.25">
      <c r="B6" t="s">
        <v>84</v>
      </c>
      <c r="G6">
        <v>8687.0040000000008</v>
      </c>
      <c r="H6">
        <v>811366.39901913097</v>
      </c>
      <c r="I6">
        <v>0</v>
      </c>
      <c r="J6">
        <v>811366.39901913097</v>
      </c>
      <c r="L6">
        <v>8687.0040000000008</v>
      </c>
      <c r="M6">
        <v>155987.68228558599</v>
      </c>
    </row>
    <row r="7" spans="2:13" x14ac:dyDescent="0.25">
      <c r="B7" t="s">
        <v>233</v>
      </c>
      <c r="G7">
        <v>8688.0040000000008</v>
      </c>
      <c r="H7">
        <v>811414.87401913095</v>
      </c>
      <c r="I7">
        <v>0</v>
      </c>
      <c r="J7">
        <v>811414.87401913095</v>
      </c>
      <c r="L7">
        <v>8688.0040000000008</v>
      </c>
      <c r="M7">
        <v>156000.858285586</v>
      </c>
    </row>
    <row r="8" spans="2:13" x14ac:dyDescent="0.25">
      <c r="B8" t="s">
        <v>90</v>
      </c>
      <c r="G8">
        <v>8689.0040000000008</v>
      </c>
      <c r="H8">
        <v>811457.14401913097</v>
      </c>
      <c r="I8">
        <v>0</v>
      </c>
      <c r="J8">
        <v>811457.14401913097</v>
      </c>
      <c r="L8">
        <v>8689.0040000000008</v>
      </c>
      <c r="M8">
        <v>156012.806285586</v>
      </c>
    </row>
    <row r="9" spans="2:13" x14ac:dyDescent="0.25">
      <c r="B9" t="s">
        <v>78</v>
      </c>
      <c r="G9">
        <v>8690.0040000000008</v>
      </c>
      <c r="H9">
        <v>811495.451019131</v>
      </c>
      <c r="I9">
        <v>0</v>
      </c>
      <c r="J9">
        <v>811495.451019131</v>
      </c>
      <c r="L9">
        <v>8690.0040000000008</v>
      </c>
      <c r="M9">
        <v>156023.78828558599</v>
      </c>
    </row>
    <row r="10" spans="2:13" x14ac:dyDescent="0.25">
      <c r="B10" t="s">
        <v>234</v>
      </c>
      <c r="G10">
        <v>8691.0040000000008</v>
      </c>
      <c r="H10">
        <v>811532.52901913098</v>
      </c>
      <c r="I10">
        <v>0</v>
      </c>
      <c r="J10">
        <v>811532.52901913098</v>
      </c>
      <c r="L10">
        <v>8691.0040000000008</v>
      </c>
      <c r="M10">
        <v>156035.940285586</v>
      </c>
    </row>
    <row r="11" spans="2:13" x14ac:dyDescent="0.25">
      <c r="B11" t="s">
        <v>235</v>
      </c>
      <c r="G11">
        <v>8692.0040000000008</v>
      </c>
      <c r="H11">
        <v>811569.53901913099</v>
      </c>
      <c r="I11">
        <v>0</v>
      </c>
      <c r="J11">
        <v>811569.53901913099</v>
      </c>
      <c r="L11">
        <v>8692.0040000000008</v>
      </c>
      <c r="M11">
        <v>156048.96628558601</v>
      </c>
    </row>
    <row r="12" spans="2:13" x14ac:dyDescent="0.25">
      <c r="B12" t="s">
        <v>92</v>
      </c>
      <c r="G12">
        <v>8693.0040000000008</v>
      </c>
      <c r="H12">
        <v>811611.608019131</v>
      </c>
      <c r="I12">
        <v>0</v>
      </c>
      <c r="J12">
        <v>811611.608019131</v>
      </c>
      <c r="L12">
        <v>8693.0040000000008</v>
      </c>
      <c r="M12">
        <v>156063.469285586</v>
      </c>
    </row>
    <row r="13" spans="2:13" x14ac:dyDescent="0.25">
      <c r="B13" t="s">
        <v>94</v>
      </c>
      <c r="G13">
        <v>8694.0040000000008</v>
      </c>
      <c r="H13">
        <v>811668.750019131</v>
      </c>
      <c r="I13">
        <v>0</v>
      </c>
      <c r="J13">
        <v>811668.750019131</v>
      </c>
      <c r="L13">
        <v>8694.0040000000008</v>
      </c>
      <c r="M13">
        <v>156084.95528558601</v>
      </c>
    </row>
    <row r="14" spans="2:13" x14ac:dyDescent="0.25">
      <c r="B14" t="s">
        <v>96</v>
      </c>
      <c r="G14">
        <v>8695.0040000000008</v>
      </c>
      <c r="H14">
        <v>811740.92201913102</v>
      </c>
      <c r="I14">
        <v>0</v>
      </c>
      <c r="J14">
        <v>811740.92201913102</v>
      </c>
      <c r="L14">
        <v>8695.0040000000008</v>
      </c>
      <c r="M14">
        <v>156113.956285586</v>
      </c>
    </row>
    <row r="15" spans="2:13" x14ac:dyDescent="0.25">
      <c r="B15" t="s">
        <v>98</v>
      </c>
      <c r="G15">
        <v>8696.0040000000008</v>
      </c>
      <c r="H15">
        <v>811824.63801913103</v>
      </c>
      <c r="I15">
        <v>0</v>
      </c>
      <c r="J15">
        <v>811824.63801913103</v>
      </c>
      <c r="L15">
        <v>8696.0040000000008</v>
      </c>
      <c r="M15">
        <v>156147.334285586</v>
      </c>
    </row>
    <row r="16" spans="2:13" x14ac:dyDescent="0.25">
      <c r="B16" t="s">
        <v>100</v>
      </c>
      <c r="G16">
        <v>8697.0040000000008</v>
      </c>
      <c r="H16">
        <v>811937.85401913105</v>
      </c>
      <c r="I16">
        <v>0</v>
      </c>
      <c r="J16">
        <v>811937.85401913105</v>
      </c>
      <c r="L16">
        <v>8697.0040000000008</v>
      </c>
      <c r="M16">
        <v>156189.15628558601</v>
      </c>
    </row>
    <row r="17" spans="2:13" x14ac:dyDescent="0.25">
      <c r="B17" t="s">
        <v>102</v>
      </c>
      <c r="G17">
        <v>8698.0040000000008</v>
      </c>
      <c r="H17">
        <v>812061.69601913099</v>
      </c>
      <c r="I17">
        <v>0</v>
      </c>
      <c r="J17">
        <v>812061.69601913099</v>
      </c>
      <c r="L17">
        <v>8698.0040000000008</v>
      </c>
      <c r="M17">
        <v>156233.17428558599</v>
      </c>
    </row>
    <row r="18" spans="2:13" x14ac:dyDescent="0.25">
      <c r="B18" t="s">
        <v>104</v>
      </c>
      <c r="G18">
        <v>8699.0040000000008</v>
      </c>
      <c r="H18">
        <v>812174.51901913097</v>
      </c>
      <c r="I18">
        <v>0</v>
      </c>
      <c r="J18">
        <v>812174.51901913097</v>
      </c>
      <c r="L18">
        <v>8699.0040000000008</v>
      </c>
      <c r="M18">
        <v>156277.98528558601</v>
      </c>
    </row>
    <row r="19" spans="2:13" x14ac:dyDescent="0.25">
      <c r="B19" t="s">
        <v>106</v>
      </c>
      <c r="G19">
        <v>8700.0040000000008</v>
      </c>
      <c r="H19">
        <v>812267.71401913103</v>
      </c>
      <c r="I19">
        <v>0</v>
      </c>
      <c r="J19">
        <v>812267.71401913103</v>
      </c>
      <c r="L19">
        <v>8700.0040000000008</v>
      </c>
      <c r="M19">
        <v>156314.43528558599</v>
      </c>
    </row>
    <row r="20" spans="2:13" x14ac:dyDescent="0.25">
      <c r="B20" t="s">
        <v>108</v>
      </c>
      <c r="G20">
        <v>8701.0040000000008</v>
      </c>
      <c r="H20">
        <v>812356.67101913097</v>
      </c>
      <c r="I20">
        <v>0</v>
      </c>
      <c r="J20">
        <v>812356.67101913097</v>
      </c>
      <c r="L20">
        <v>8701.0040000000008</v>
      </c>
      <c r="M20">
        <v>156347.23428558599</v>
      </c>
    </row>
    <row r="21" spans="2:13" x14ac:dyDescent="0.25">
      <c r="B21" t="s">
        <v>110</v>
      </c>
      <c r="G21">
        <v>8702.0040000000008</v>
      </c>
      <c r="H21">
        <v>812443.71801913099</v>
      </c>
      <c r="I21">
        <v>0</v>
      </c>
      <c r="J21">
        <v>812443.71801913099</v>
      </c>
      <c r="L21">
        <v>8702.0040000000008</v>
      </c>
      <c r="M21">
        <v>156376.35128558599</v>
      </c>
    </row>
    <row r="22" spans="2:13" x14ac:dyDescent="0.25">
      <c r="B22" t="s">
        <v>112</v>
      </c>
      <c r="G22">
        <v>8703.0040000000008</v>
      </c>
      <c r="H22">
        <v>812537.16501913103</v>
      </c>
      <c r="I22">
        <v>0</v>
      </c>
      <c r="J22">
        <v>812537.16501913103</v>
      </c>
      <c r="L22">
        <v>8703.0040000000008</v>
      </c>
      <c r="M22">
        <v>156402.85428558601</v>
      </c>
    </row>
    <row r="23" spans="2:13" x14ac:dyDescent="0.25">
      <c r="B23" t="s">
        <v>114</v>
      </c>
      <c r="G23">
        <v>8704.0040000000008</v>
      </c>
      <c r="H23">
        <v>812659.43201913103</v>
      </c>
      <c r="I23">
        <v>0</v>
      </c>
      <c r="J23">
        <v>812659.43201913103</v>
      </c>
      <c r="L23">
        <v>8704.0040000000008</v>
      </c>
      <c r="M23">
        <v>156432.222285586</v>
      </c>
    </row>
    <row r="24" spans="2:13" x14ac:dyDescent="0.25">
      <c r="G24">
        <v>8705.0040000000008</v>
      </c>
      <c r="H24">
        <v>812813.79201913101</v>
      </c>
      <c r="I24">
        <v>0</v>
      </c>
      <c r="J24">
        <v>812813.79201913101</v>
      </c>
      <c r="L24">
        <v>8705.0040000000008</v>
      </c>
      <c r="M24">
        <v>156467.50828558599</v>
      </c>
    </row>
    <row r="25" spans="2:13" x14ac:dyDescent="0.25">
      <c r="G25">
        <v>8706.0040000000008</v>
      </c>
      <c r="H25">
        <v>812972.55501913105</v>
      </c>
      <c r="I25">
        <v>0</v>
      </c>
      <c r="J25">
        <v>812972.55501913105</v>
      </c>
      <c r="L25">
        <v>8706.0040000000008</v>
      </c>
      <c r="M25">
        <v>156498.51528558601</v>
      </c>
    </row>
    <row r="26" spans="2:13" x14ac:dyDescent="0.25">
      <c r="G26">
        <v>8707.0040000000008</v>
      </c>
      <c r="H26">
        <v>813090.39001913101</v>
      </c>
      <c r="I26">
        <v>0</v>
      </c>
      <c r="J26">
        <v>813090.39001913101</v>
      </c>
      <c r="L26">
        <v>8707.0040000000008</v>
      </c>
      <c r="M26">
        <v>156520.20828558601</v>
      </c>
    </row>
    <row r="27" spans="2:13" x14ac:dyDescent="0.25">
      <c r="G27">
        <v>8708.0040000000008</v>
      </c>
      <c r="H27">
        <v>813176.41201913101</v>
      </c>
      <c r="I27">
        <v>0</v>
      </c>
      <c r="J27">
        <v>813176.41201913101</v>
      </c>
      <c r="L27">
        <v>8708.0040000000008</v>
      </c>
      <c r="M27">
        <v>156537.16728558601</v>
      </c>
    </row>
    <row r="28" spans="2:13" x14ac:dyDescent="0.25">
      <c r="G28">
        <v>8709.0040000000008</v>
      </c>
      <c r="H28">
        <v>813245.43601913098</v>
      </c>
      <c r="I28">
        <v>0</v>
      </c>
      <c r="J28">
        <v>813245.43601913098</v>
      </c>
      <c r="L28">
        <v>8709.0040000000008</v>
      </c>
      <c r="M28">
        <v>156550.573285586</v>
      </c>
    </row>
    <row r="29" spans="2:13" x14ac:dyDescent="0.25">
      <c r="G29">
        <v>8710.0040000000008</v>
      </c>
      <c r="H29">
        <v>813306.83601913101</v>
      </c>
      <c r="I29">
        <v>0</v>
      </c>
      <c r="J29">
        <v>813306.83601913101</v>
      </c>
      <c r="L29">
        <v>8710.0040000000008</v>
      </c>
      <c r="M29">
        <v>156561.84628558601</v>
      </c>
    </row>
    <row r="30" spans="2:13" x14ac:dyDescent="0.25">
      <c r="G30">
        <v>8711.0040000000008</v>
      </c>
      <c r="H30">
        <v>813355.56501913106</v>
      </c>
      <c r="I30">
        <v>0</v>
      </c>
      <c r="J30">
        <v>813355.56501913106</v>
      </c>
      <c r="L30">
        <v>8711.0040000000008</v>
      </c>
      <c r="M30">
        <v>156570.77828558601</v>
      </c>
    </row>
    <row r="31" spans="2:13" x14ac:dyDescent="0.25">
      <c r="G31">
        <v>8712.0040000000008</v>
      </c>
      <c r="H31">
        <v>813402.26101913105</v>
      </c>
      <c r="I31">
        <v>0</v>
      </c>
      <c r="J31">
        <v>813402.26101913105</v>
      </c>
      <c r="L31">
        <v>8712.0040000000008</v>
      </c>
      <c r="M31">
        <v>156577.54228558601</v>
      </c>
    </row>
    <row r="32" spans="2:13" x14ac:dyDescent="0.25">
      <c r="G32">
        <v>8713.0040000000008</v>
      </c>
      <c r="H32">
        <v>813439.96401913103</v>
      </c>
      <c r="I32">
        <v>0</v>
      </c>
      <c r="J32">
        <v>813439.96401913103</v>
      </c>
      <c r="L32">
        <v>8713.0040000000008</v>
      </c>
      <c r="M32">
        <v>156582.51128558599</v>
      </c>
    </row>
    <row r="33" spans="7:13" x14ac:dyDescent="0.25">
      <c r="G33">
        <v>8714.0040000000008</v>
      </c>
      <c r="H33">
        <v>813475.99401913094</v>
      </c>
      <c r="I33">
        <v>0</v>
      </c>
      <c r="J33">
        <v>813475.99401913094</v>
      </c>
      <c r="L33">
        <v>8714.0040000000008</v>
      </c>
      <c r="M33">
        <v>156587.47028558599</v>
      </c>
    </row>
    <row r="34" spans="7:13" x14ac:dyDescent="0.25">
      <c r="G34">
        <v>8715.0040000000008</v>
      </c>
      <c r="H34">
        <v>813508.79301913094</v>
      </c>
      <c r="I34">
        <v>0</v>
      </c>
      <c r="J34">
        <v>813508.79301913094</v>
      </c>
      <c r="L34">
        <v>8715.0040000000008</v>
      </c>
      <c r="M34">
        <v>156592.60428558601</v>
      </c>
    </row>
    <row r="35" spans="7:13" x14ac:dyDescent="0.25">
      <c r="G35">
        <v>8716.0040000000008</v>
      </c>
      <c r="H35">
        <v>813541.26801913104</v>
      </c>
      <c r="I35">
        <v>0</v>
      </c>
      <c r="J35">
        <v>813541.26801913104</v>
      </c>
      <c r="L35">
        <v>8716.0040000000008</v>
      </c>
      <c r="M35">
        <v>156597.00728558601</v>
      </c>
    </row>
    <row r="36" spans="7:13" x14ac:dyDescent="0.25">
      <c r="G36">
        <v>8717.0040000000008</v>
      </c>
      <c r="H36">
        <v>813577.04101913096</v>
      </c>
      <c r="I36">
        <v>0</v>
      </c>
      <c r="J36">
        <v>813577.04101913096</v>
      </c>
      <c r="L36">
        <v>8717.0040000000008</v>
      </c>
      <c r="M36">
        <v>156601.55528558599</v>
      </c>
    </row>
    <row r="37" spans="7:13" x14ac:dyDescent="0.25">
      <c r="G37">
        <v>8718.0040000000008</v>
      </c>
      <c r="H37">
        <v>813621.28901913099</v>
      </c>
      <c r="I37">
        <v>0</v>
      </c>
      <c r="J37">
        <v>813621.28901913099</v>
      </c>
      <c r="L37">
        <v>8718.0040000000008</v>
      </c>
      <c r="M37">
        <v>156607.70228558601</v>
      </c>
    </row>
    <row r="38" spans="7:13" x14ac:dyDescent="0.25">
      <c r="G38">
        <v>8719.0040000000008</v>
      </c>
      <c r="H38">
        <v>813672.28501913103</v>
      </c>
      <c r="I38">
        <v>0</v>
      </c>
      <c r="J38">
        <v>813672.28501913103</v>
      </c>
      <c r="L38">
        <v>8719.0040000000008</v>
      </c>
      <c r="M38">
        <v>156616.39428558599</v>
      </c>
    </row>
    <row r="39" spans="7:13" x14ac:dyDescent="0.25">
      <c r="G39">
        <v>8720.0040000000008</v>
      </c>
      <c r="H39">
        <v>813738.47901913105</v>
      </c>
      <c r="I39">
        <v>0</v>
      </c>
      <c r="J39">
        <v>813738.47901913105</v>
      </c>
      <c r="L39">
        <v>8720.0040000000008</v>
      </c>
      <c r="M39">
        <v>156629.22728558601</v>
      </c>
    </row>
    <row r="40" spans="7:13" x14ac:dyDescent="0.25">
      <c r="G40">
        <v>8721.0040000000008</v>
      </c>
      <c r="H40">
        <v>813811.54401913099</v>
      </c>
      <c r="I40">
        <v>0</v>
      </c>
      <c r="J40">
        <v>813811.54401913099</v>
      </c>
      <c r="L40">
        <v>8721.0040000000008</v>
      </c>
      <c r="M40">
        <v>156643.187285586</v>
      </c>
    </row>
    <row r="41" spans="7:13" x14ac:dyDescent="0.25">
      <c r="G41">
        <v>8722.0040000000008</v>
      </c>
      <c r="H41">
        <v>813880.57801913098</v>
      </c>
      <c r="I41">
        <v>0</v>
      </c>
      <c r="J41">
        <v>813880.57801913098</v>
      </c>
      <c r="L41">
        <v>8722.0040000000008</v>
      </c>
      <c r="M41">
        <v>156656.10228558601</v>
      </c>
    </row>
    <row r="42" spans="7:13" x14ac:dyDescent="0.25">
      <c r="G42">
        <v>8723.0040000000008</v>
      </c>
      <c r="H42">
        <v>813950.69801913097</v>
      </c>
      <c r="I42">
        <v>0</v>
      </c>
      <c r="J42">
        <v>813950.69801913097</v>
      </c>
      <c r="L42">
        <v>8723.0040000000008</v>
      </c>
      <c r="M42">
        <v>156669.50728558601</v>
      </c>
    </row>
    <row r="43" spans="7:13" x14ac:dyDescent="0.25">
      <c r="G43">
        <v>8724.0040000000008</v>
      </c>
      <c r="H43">
        <v>814020.74701913097</v>
      </c>
      <c r="I43">
        <v>0</v>
      </c>
      <c r="J43">
        <v>814020.74701913097</v>
      </c>
      <c r="L43">
        <v>8724.0040000000008</v>
      </c>
      <c r="M43">
        <v>156683.130285586</v>
      </c>
    </row>
    <row r="44" spans="7:13" x14ac:dyDescent="0.25">
      <c r="G44">
        <v>8725.0040000000008</v>
      </c>
      <c r="H44">
        <v>814094.83201913105</v>
      </c>
      <c r="I44">
        <v>0</v>
      </c>
      <c r="J44">
        <v>814094.83201913105</v>
      </c>
      <c r="L44">
        <v>8725.0040000000008</v>
      </c>
      <c r="M44">
        <v>156698.497285586</v>
      </c>
    </row>
    <row r="45" spans="7:13" x14ac:dyDescent="0.25">
      <c r="G45">
        <v>8726.0040000000008</v>
      </c>
      <c r="H45">
        <v>814165.67001913104</v>
      </c>
      <c r="I45">
        <v>0</v>
      </c>
      <c r="J45">
        <v>814165.67001913104</v>
      </c>
      <c r="L45">
        <v>8726.0040000000008</v>
      </c>
      <c r="M45">
        <v>156714.02728558599</v>
      </c>
    </row>
    <row r="46" spans="7:13" x14ac:dyDescent="0.25">
      <c r="G46">
        <v>8727.0040000000008</v>
      </c>
      <c r="H46">
        <v>814251.51501913101</v>
      </c>
      <c r="I46">
        <v>0</v>
      </c>
      <c r="J46">
        <v>814251.51501913101</v>
      </c>
      <c r="L46">
        <v>8727.0040000000008</v>
      </c>
      <c r="M46">
        <v>156735.87328558601</v>
      </c>
    </row>
    <row r="47" spans="7:13" x14ac:dyDescent="0.25">
      <c r="G47">
        <v>8728.0040000000008</v>
      </c>
      <c r="H47">
        <v>814350.85501913098</v>
      </c>
      <c r="I47">
        <v>0</v>
      </c>
      <c r="J47">
        <v>814350.85501913098</v>
      </c>
      <c r="L47">
        <v>8728.0040000000008</v>
      </c>
      <c r="M47">
        <v>156761.18628558601</v>
      </c>
    </row>
    <row r="48" spans="7:13" x14ac:dyDescent="0.25">
      <c r="G48">
        <v>8729.0040000000008</v>
      </c>
      <c r="H48">
        <v>814484.92701913102</v>
      </c>
      <c r="I48">
        <v>0</v>
      </c>
      <c r="J48">
        <v>814484.92701913102</v>
      </c>
      <c r="L48">
        <v>8729.0040000000008</v>
      </c>
      <c r="M48">
        <v>156795.42428558599</v>
      </c>
    </row>
    <row r="49" spans="7:13" x14ac:dyDescent="0.25">
      <c r="G49">
        <v>8730.0040000000008</v>
      </c>
      <c r="H49">
        <v>814612.49701913097</v>
      </c>
      <c r="I49">
        <v>0</v>
      </c>
      <c r="J49">
        <v>814612.49701913097</v>
      </c>
      <c r="L49">
        <v>8730.0040000000008</v>
      </c>
      <c r="M49">
        <v>156827.244285586</v>
      </c>
    </row>
    <row r="50" spans="7:13" x14ac:dyDescent="0.25">
      <c r="G50">
        <v>8731.0040000000008</v>
      </c>
      <c r="H50">
        <v>814718.16901913099</v>
      </c>
      <c r="I50">
        <v>0</v>
      </c>
      <c r="J50">
        <v>814718.16901913099</v>
      </c>
      <c r="L50">
        <v>8731.0040000000008</v>
      </c>
      <c r="M50">
        <v>156852.43328558601</v>
      </c>
    </row>
    <row r="51" spans="7:13" x14ac:dyDescent="0.25">
      <c r="G51">
        <v>8732.0040000000008</v>
      </c>
      <c r="H51">
        <v>814824.581019131</v>
      </c>
      <c r="I51">
        <v>0</v>
      </c>
      <c r="J51">
        <v>814824.581019131</v>
      </c>
      <c r="L51">
        <v>8732.0040000000008</v>
      </c>
      <c r="M51">
        <v>156873.28328558599</v>
      </c>
    </row>
    <row r="52" spans="7:13" x14ac:dyDescent="0.25">
      <c r="G52">
        <v>8733.0040000000008</v>
      </c>
      <c r="H52">
        <v>814924.429019131</v>
      </c>
      <c r="I52">
        <v>0</v>
      </c>
      <c r="J52">
        <v>814924.429019131</v>
      </c>
      <c r="L52">
        <v>8733.0040000000008</v>
      </c>
      <c r="M52">
        <v>156893.00028558599</v>
      </c>
    </row>
    <row r="53" spans="7:13" x14ac:dyDescent="0.25">
      <c r="G53">
        <v>8734.0040000000008</v>
      </c>
      <c r="H53">
        <v>815003.25401913095</v>
      </c>
      <c r="I53">
        <v>0</v>
      </c>
      <c r="J53">
        <v>815003.25401913095</v>
      </c>
      <c r="L53">
        <v>8734.0040000000008</v>
      </c>
      <c r="M53">
        <v>156907.63728558601</v>
      </c>
    </row>
    <row r="54" spans="7:13" x14ac:dyDescent="0.25">
      <c r="G54">
        <v>8735.0040000000008</v>
      </c>
      <c r="H54">
        <v>815066.69501913094</v>
      </c>
      <c r="I54">
        <v>0</v>
      </c>
      <c r="J54">
        <v>815066.69501913094</v>
      </c>
      <c r="L54">
        <v>8735.0040000000008</v>
      </c>
      <c r="M54">
        <v>156919.76728558599</v>
      </c>
    </row>
    <row r="55" spans="7:13" x14ac:dyDescent="0.25">
      <c r="G55">
        <v>8736.0040000000008</v>
      </c>
      <c r="H55">
        <v>815116.88201913098</v>
      </c>
      <c r="I55">
        <v>0</v>
      </c>
      <c r="J55">
        <v>815116.88201913098</v>
      </c>
      <c r="L55">
        <v>8736.0040000000008</v>
      </c>
      <c r="M55">
        <v>156928.32428558599</v>
      </c>
    </row>
    <row r="56" spans="7:13" x14ac:dyDescent="0.25">
      <c r="G56">
        <v>8737.0040000000008</v>
      </c>
      <c r="H56">
        <v>815156.08001913095</v>
      </c>
      <c r="I56">
        <v>0</v>
      </c>
      <c r="J56">
        <v>815156.08001913095</v>
      </c>
      <c r="L56">
        <v>8737.0040000000008</v>
      </c>
      <c r="M56">
        <v>156935.06028558599</v>
      </c>
    </row>
    <row r="57" spans="7:13" x14ac:dyDescent="0.25">
      <c r="G57">
        <v>8738.0040000000008</v>
      </c>
      <c r="H57">
        <v>815191.15901913098</v>
      </c>
      <c r="I57">
        <v>0</v>
      </c>
      <c r="J57">
        <v>815191.15901913098</v>
      </c>
      <c r="L57">
        <v>8738.0040000000008</v>
      </c>
      <c r="M57">
        <v>156941.301285586</v>
      </c>
    </row>
    <row r="58" spans="7:13" x14ac:dyDescent="0.25">
      <c r="G58">
        <v>8739.0040000000008</v>
      </c>
      <c r="H58">
        <v>815222.03401913098</v>
      </c>
      <c r="I58">
        <v>0</v>
      </c>
      <c r="J58">
        <v>815222.03401913098</v>
      </c>
      <c r="L58">
        <v>8739.0040000000008</v>
      </c>
      <c r="M58">
        <v>156946.77328558601</v>
      </c>
    </row>
    <row r="59" spans="7:13" x14ac:dyDescent="0.25">
      <c r="G59">
        <v>8740.0040000000008</v>
      </c>
      <c r="H59">
        <v>815253.83501913096</v>
      </c>
      <c r="I59">
        <v>0</v>
      </c>
      <c r="J59">
        <v>815253.83501913096</v>
      </c>
      <c r="L59">
        <v>8740.0040000000008</v>
      </c>
      <c r="M59">
        <v>156952.05228558599</v>
      </c>
    </row>
    <row r="60" spans="7:13" x14ac:dyDescent="0.25">
      <c r="G60">
        <v>8741.0040000000008</v>
      </c>
      <c r="H60">
        <v>815288.25101913104</v>
      </c>
      <c r="I60">
        <v>0</v>
      </c>
      <c r="J60">
        <v>815288.25101913104</v>
      </c>
      <c r="L60">
        <v>8741.0040000000008</v>
      </c>
      <c r="M60">
        <v>156957.695285586</v>
      </c>
    </row>
    <row r="61" spans="7:13" x14ac:dyDescent="0.25">
      <c r="G61">
        <v>8742.0040000000008</v>
      </c>
      <c r="H61">
        <v>815330.79201913101</v>
      </c>
      <c r="I61">
        <v>0</v>
      </c>
      <c r="J61">
        <v>815330.79201913101</v>
      </c>
      <c r="L61">
        <v>8742.0040000000008</v>
      </c>
      <c r="M61">
        <v>156964.49628558601</v>
      </c>
    </row>
    <row r="62" spans="7:13" x14ac:dyDescent="0.25">
      <c r="G62">
        <v>8743.0040000000008</v>
      </c>
      <c r="H62">
        <v>815384.71101913101</v>
      </c>
      <c r="I62">
        <v>0</v>
      </c>
      <c r="J62">
        <v>815384.71101913101</v>
      </c>
      <c r="L62">
        <v>8743.0040000000008</v>
      </c>
      <c r="M62">
        <v>156973.111285586</v>
      </c>
    </row>
    <row r="63" spans="7:13" x14ac:dyDescent="0.25">
      <c r="G63">
        <v>8744.0040000000008</v>
      </c>
      <c r="H63">
        <v>815453.92201913102</v>
      </c>
      <c r="I63">
        <v>0</v>
      </c>
      <c r="J63">
        <v>815453.92201913102</v>
      </c>
      <c r="L63">
        <v>8744.0040000000008</v>
      </c>
      <c r="M63">
        <v>156985.543285586</v>
      </c>
    </row>
    <row r="64" spans="7:13" x14ac:dyDescent="0.25">
      <c r="G64">
        <v>8745.0040000000008</v>
      </c>
      <c r="H64">
        <v>815526.92601913097</v>
      </c>
      <c r="I64">
        <v>0</v>
      </c>
      <c r="J64">
        <v>815526.92601913097</v>
      </c>
      <c r="L64">
        <v>8745.0040000000008</v>
      </c>
      <c r="M64">
        <v>156998.88328558599</v>
      </c>
    </row>
    <row r="65" spans="7:13" x14ac:dyDescent="0.25">
      <c r="G65">
        <v>8746.0040000000008</v>
      </c>
      <c r="H65">
        <v>815599.85501913098</v>
      </c>
      <c r="I65">
        <v>0</v>
      </c>
      <c r="J65">
        <v>815599.85501913098</v>
      </c>
      <c r="L65">
        <v>8746.0040000000008</v>
      </c>
      <c r="M65">
        <v>157011.861285586</v>
      </c>
    </row>
    <row r="66" spans="7:13" x14ac:dyDescent="0.25">
      <c r="G66">
        <v>8747.0040000000008</v>
      </c>
      <c r="H66">
        <v>815677.79301913094</v>
      </c>
      <c r="I66">
        <v>0</v>
      </c>
      <c r="J66">
        <v>815677.79301913094</v>
      </c>
      <c r="L66">
        <v>8747.0040000000008</v>
      </c>
      <c r="M66">
        <v>157025.86828558601</v>
      </c>
    </row>
    <row r="67" spans="7:13" x14ac:dyDescent="0.25">
      <c r="G67">
        <v>8748.0040000000008</v>
      </c>
      <c r="H67">
        <v>815761.05001913104</v>
      </c>
      <c r="I67">
        <v>0</v>
      </c>
      <c r="J67">
        <v>815761.05001913104</v>
      </c>
      <c r="L67">
        <v>8748.0040000000008</v>
      </c>
      <c r="M67">
        <v>157040.790285586</v>
      </c>
    </row>
    <row r="68" spans="7:13" x14ac:dyDescent="0.25">
      <c r="G68">
        <v>8749.0040000000008</v>
      </c>
      <c r="H68">
        <v>815843.49801913102</v>
      </c>
      <c r="I68">
        <v>0</v>
      </c>
      <c r="J68">
        <v>815843.49801913102</v>
      </c>
      <c r="L68">
        <v>8749.0040000000008</v>
      </c>
      <c r="M68">
        <v>157055.19628558599</v>
      </c>
    </row>
    <row r="69" spans="7:13" x14ac:dyDescent="0.25">
      <c r="G69">
        <v>8750.0040000000008</v>
      </c>
      <c r="H69">
        <v>815928.84801913099</v>
      </c>
      <c r="I69">
        <v>0</v>
      </c>
      <c r="J69">
        <v>815928.84801913099</v>
      </c>
      <c r="L69">
        <v>8750.0040000000008</v>
      </c>
      <c r="M69">
        <v>157070.059285586</v>
      </c>
    </row>
    <row r="70" spans="7:13" x14ac:dyDescent="0.25">
      <c r="G70">
        <v>8751.0040000000008</v>
      </c>
      <c r="H70">
        <v>816020.45701913105</v>
      </c>
      <c r="I70">
        <v>0</v>
      </c>
      <c r="J70">
        <v>816020.45701913105</v>
      </c>
      <c r="L70">
        <v>8751.0040000000008</v>
      </c>
      <c r="M70">
        <v>157084.66128558599</v>
      </c>
    </row>
    <row r="71" spans="7:13" x14ac:dyDescent="0.25">
      <c r="G71">
        <v>8752.0040000000008</v>
      </c>
      <c r="H71">
        <v>816131.49601913104</v>
      </c>
      <c r="I71">
        <v>0</v>
      </c>
      <c r="J71">
        <v>816131.49601913104</v>
      </c>
      <c r="L71">
        <v>8752.0040000000008</v>
      </c>
      <c r="M71">
        <v>157102.062285586</v>
      </c>
    </row>
    <row r="72" spans="7:13" x14ac:dyDescent="0.25">
      <c r="G72">
        <v>8753.0040000000008</v>
      </c>
      <c r="H72">
        <v>816268.40901913098</v>
      </c>
      <c r="I72">
        <v>0</v>
      </c>
      <c r="J72">
        <v>816268.40901913098</v>
      </c>
      <c r="L72">
        <v>8753.0040000000008</v>
      </c>
      <c r="M72">
        <v>157124.048285586</v>
      </c>
    </row>
    <row r="73" spans="7:13" x14ac:dyDescent="0.25">
      <c r="G73">
        <v>8754.0040000000008</v>
      </c>
      <c r="H73">
        <v>816401.30701913103</v>
      </c>
      <c r="I73">
        <v>0</v>
      </c>
      <c r="J73">
        <v>816401.30701913103</v>
      </c>
      <c r="L73">
        <v>8754.0040000000008</v>
      </c>
      <c r="M73">
        <v>157144.967285586</v>
      </c>
    </row>
    <row r="74" spans="7:13" x14ac:dyDescent="0.25">
      <c r="G74">
        <v>8755.0040000000008</v>
      </c>
      <c r="H74">
        <v>816503.75801913103</v>
      </c>
      <c r="I74">
        <v>0</v>
      </c>
      <c r="J74">
        <v>816503.75801913103</v>
      </c>
      <c r="L74">
        <v>8755.0040000000008</v>
      </c>
      <c r="M74">
        <v>157159.74328558601</v>
      </c>
    </row>
    <row r="75" spans="7:13" x14ac:dyDescent="0.25">
      <c r="G75">
        <v>8756.0040000000008</v>
      </c>
      <c r="H75">
        <v>816610.52101913095</v>
      </c>
      <c r="I75">
        <v>0</v>
      </c>
      <c r="J75">
        <v>816610.52101913095</v>
      </c>
      <c r="L75">
        <v>8756.0040000000008</v>
      </c>
      <c r="M75">
        <v>157175.05328558601</v>
      </c>
    </row>
    <row r="76" spans="7:13" x14ac:dyDescent="0.25">
      <c r="G76">
        <v>8757.0040000000008</v>
      </c>
      <c r="H76">
        <v>816696.78301913105</v>
      </c>
      <c r="I76">
        <v>0</v>
      </c>
      <c r="J76">
        <v>816696.78301913105</v>
      </c>
      <c r="L76">
        <v>8757.0040000000008</v>
      </c>
      <c r="M76">
        <v>157187.268285586</v>
      </c>
    </row>
    <row r="77" spans="7:13" x14ac:dyDescent="0.25">
      <c r="G77">
        <v>8758.0040000000008</v>
      </c>
      <c r="H77">
        <v>816773.43501913105</v>
      </c>
      <c r="I77">
        <v>0</v>
      </c>
      <c r="J77">
        <v>816773.43501913105</v>
      </c>
      <c r="L77">
        <v>8758.0040000000008</v>
      </c>
      <c r="M77">
        <v>157198.39828558601</v>
      </c>
    </row>
    <row r="78" spans="7:13" x14ac:dyDescent="0.25">
      <c r="G78">
        <v>8759.0040000000008</v>
      </c>
      <c r="H78">
        <v>816834.576019131</v>
      </c>
      <c r="I78">
        <v>0</v>
      </c>
      <c r="J78">
        <v>816834.576019131</v>
      </c>
      <c r="L78">
        <v>8759.0040000000008</v>
      </c>
      <c r="M78">
        <v>157208.029285586</v>
      </c>
    </row>
    <row r="79" spans="7:13" x14ac:dyDescent="0.25">
      <c r="G79">
        <v>8760.0040000000008</v>
      </c>
      <c r="H79">
        <v>816882.36201913096</v>
      </c>
      <c r="I79">
        <v>0</v>
      </c>
      <c r="J79">
        <v>816882.36201913096</v>
      </c>
      <c r="L79">
        <v>8760.0040000000008</v>
      </c>
      <c r="M79">
        <v>157216.497285586</v>
      </c>
    </row>
    <row r="80" spans="7:13" x14ac:dyDescent="0.25">
      <c r="G80">
        <v>8761.0040000000008</v>
      </c>
      <c r="H80">
        <v>816918.99801913102</v>
      </c>
      <c r="I80">
        <v>0</v>
      </c>
      <c r="J80">
        <v>816918.99801913102</v>
      </c>
      <c r="L80">
        <v>8761.0040000000008</v>
      </c>
      <c r="M80">
        <v>157223.798285586</v>
      </c>
    </row>
    <row r="81" spans="7:13" x14ac:dyDescent="0.25">
      <c r="G81">
        <v>8762.0040000000008</v>
      </c>
      <c r="H81">
        <v>816945.88801913103</v>
      </c>
      <c r="I81">
        <v>0</v>
      </c>
      <c r="J81">
        <v>816945.88801913103</v>
      </c>
      <c r="L81">
        <v>8762.0040000000008</v>
      </c>
      <c r="M81">
        <v>157229.440285586</v>
      </c>
    </row>
    <row r="82" spans="7:13" x14ac:dyDescent="0.25">
      <c r="G82">
        <v>8763.0040000000008</v>
      </c>
      <c r="H82">
        <v>816955.67401913099</v>
      </c>
      <c r="I82">
        <v>0</v>
      </c>
      <c r="J82">
        <v>816955.67401913099</v>
      </c>
      <c r="L82">
        <v>8763.0040000000008</v>
      </c>
      <c r="M82">
        <v>157234.05328558601</v>
      </c>
    </row>
    <row r="83" spans="7:13" x14ac:dyDescent="0.25">
      <c r="G83">
        <v>8764.0040000000008</v>
      </c>
      <c r="H83">
        <v>816959.23601913103</v>
      </c>
      <c r="I83">
        <v>0</v>
      </c>
      <c r="J83">
        <v>816959.23601913103</v>
      </c>
      <c r="L83">
        <v>8764.0040000000008</v>
      </c>
      <c r="M83">
        <v>157239.02328558601</v>
      </c>
    </row>
    <row r="84" spans="7:13" x14ac:dyDescent="0.25">
      <c r="G84">
        <v>8765.0040000000008</v>
      </c>
      <c r="H84">
        <v>816967.260019131</v>
      </c>
      <c r="I84">
        <v>0</v>
      </c>
      <c r="J84">
        <v>816967.260019131</v>
      </c>
      <c r="L84">
        <v>8765.0040000000008</v>
      </c>
      <c r="M84">
        <v>157244.27628558601</v>
      </c>
    </row>
    <row r="85" spans="7:13" x14ac:dyDescent="0.25">
      <c r="G85">
        <v>8766.0040000000008</v>
      </c>
      <c r="H85">
        <v>816984.61201913096</v>
      </c>
      <c r="I85">
        <v>0</v>
      </c>
      <c r="J85">
        <v>816984.61201913096</v>
      </c>
      <c r="L85">
        <v>8766.0040000000008</v>
      </c>
      <c r="M85">
        <v>157251.68328558601</v>
      </c>
    </row>
    <row r="86" spans="7:13" x14ac:dyDescent="0.25">
      <c r="G86">
        <v>8767.0040000000008</v>
      </c>
      <c r="H86">
        <v>817026.233019131</v>
      </c>
      <c r="I86">
        <v>0</v>
      </c>
      <c r="J86">
        <v>817026.233019131</v>
      </c>
      <c r="L86">
        <v>8767.0040000000008</v>
      </c>
      <c r="M86">
        <v>157260.888285586</v>
      </c>
    </row>
    <row r="87" spans="7:13" x14ac:dyDescent="0.25">
      <c r="G87">
        <v>8768.0040000000008</v>
      </c>
      <c r="H87">
        <v>817086.27201913099</v>
      </c>
      <c r="I87">
        <v>0</v>
      </c>
      <c r="J87">
        <v>817086.27201913099</v>
      </c>
      <c r="L87">
        <v>8768.0040000000008</v>
      </c>
      <c r="M87">
        <v>157272.31828558599</v>
      </c>
    </row>
    <row r="88" spans="7:13" x14ac:dyDescent="0.25">
      <c r="G88">
        <v>8769.0040000000008</v>
      </c>
      <c r="H88">
        <v>817155.64101913106</v>
      </c>
      <c r="I88">
        <v>0</v>
      </c>
      <c r="J88">
        <v>817155.64101913106</v>
      </c>
      <c r="L88">
        <v>8769.0040000000008</v>
      </c>
      <c r="M88">
        <v>157285.87328558601</v>
      </c>
    </row>
    <row r="89" spans="7:13" x14ac:dyDescent="0.25">
      <c r="G89">
        <v>8770.0040000000008</v>
      </c>
      <c r="H89">
        <v>817251.92601913097</v>
      </c>
      <c r="I89">
        <v>0</v>
      </c>
      <c r="J89">
        <v>817251.92601913097</v>
      </c>
      <c r="L89">
        <v>8770.0040000000008</v>
      </c>
      <c r="M89">
        <v>157304.70728558599</v>
      </c>
    </row>
    <row r="90" spans="7:13" x14ac:dyDescent="0.25">
      <c r="G90">
        <v>8771.0040000000008</v>
      </c>
      <c r="H90">
        <v>817358.66301913105</v>
      </c>
      <c r="I90">
        <v>0</v>
      </c>
      <c r="J90">
        <v>817358.66301913105</v>
      </c>
      <c r="L90">
        <v>8771.0040000000008</v>
      </c>
      <c r="M90">
        <v>157326.804285586</v>
      </c>
    </row>
    <row r="91" spans="7:13" x14ac:dyDescent="0.25">
      <c r="G91">
        <v>8772.0040000000008</v>
      </c>
      <c r="H91">
        <v>817473.37601913104</v>
      </c>
      <c r="I91">
        <v>0</v>
      </c>
      <c r="J91">
        <v>817473.37601913104</v>
      </c>
      <c r="L91">
        <v>8772.0040000000008</v>
      </c>
      <c r="M91">
        <v>157352.15028558599</v>
      </c>
    </row>
    <row r="92" spans="7:13" x14ac:dyDescent="0.25">
      <c r="G92">
        <v>8773.0040000000008</v>
      </c>
      <c r="H92">
        <v>817597.228019131</v>
      </c>
      <c r="I92">
        <v>0</v>
      </c>
      <c r="J92">
        <v>817597.228019131</v>
      </c>
      <c r="L92">
        <v>8773.0040000000008</v>
      </c>
      <c r="M92">
        <v>157380.361285586</v>
      </c>
    </row>
    <row r="93" spans="7:13" x14ac:dyDescent="0.25">
      <c r="G93">
        <v>8774.0040000000008</v>
      </c>
      <c r="H93">
        <v>817713.16901913099</v>
      </c>
      <c r="I93">
        <v>0</v>
      </c>
      <c r="J93">
        <v>817713.16901913099</v>
      </c>
      <c r="L93">
        <v>8774.0040000000008</v>
      </c>
      <c r="M93">
        <v>157408.700285586</v>
      </c>
    </row>
    <row r="94" spans="7:13" x14ac:dyDescent="0.25">
      <c r="G94">
        <v>8775.0040000000008</v>
      </c>
      <c r="H94">
        <v>817829.85101913102</v>
      </c>
      <c r="I94">
        <v>0</v>
      </c>
      <c r="J94">
        <v>817829.85101913102</v>
      </c>
      <c r="L94">
        <v>8775.0040000000008</v>
      </c>
      <c r="M94">
        <v>157438.09028558599</v>
      </c>
    </row>
    <row r="95" spans="7:13" x14ac:dyDescent="0.25">
      <c r="G95">
        <v>8776.0040000000008</v>
      </c>
      <c r="H95">
        <v>817961.59101913101</v>
      </c>
      <c r="I95">
        <v>0</v>
      </c>
      <c r="J95">
        <v>817961.59101913101</v>
      </c>
      <c r="L95">
        <v>8776.0040000000008</v>
      </c>
      <c r="M95">
        <v>157471.50428558601</v>
      </c>
    </row>
    <row r="96" spans="7:13" x14ac:dyDescent="0.25">
      <c r="G96">
        <v>8777.0040000000008</v>
      </c>
      <c r="H96">
        <v>818110.000019131</v>
      </c>
      <c r="I96">
        <v>0</v>
      </c>
      <c r="J96">
        <v>818110.000019131</v>
      </c>
      <c r="L96">
        <v>8777.0040000000008</v>
      </c>
      <c r="M96">
        <v>157511.366285586</v>
      </c>
    </row>
    <row r="97" spans="7:13" x14ac:dyDescent="0.25">
      <c r="G97">
        <v>8778.0040000000008</v>
      </c>
      <c r="H97">
        <v>818251.36701913096</v>
      </c>
      <c r="I97">
        <v>0</v>
      </c>
      <c r="J97">
        <v>818251.36701913096</v>
      </c>
      <c r="L97">
        <v>8778.0040000000008</v>
      </c>
      <c r="M97">
        <v>157551.959285586</v>
      </c>
    </row>
    <row r="98" spans="7:13" x14ac:dyDescent="0.25">
      <c r="G98">
        <v>8779.0040000000008</v>
      </c>
      <c r="H98">
        <v>818368.68901913101</v>
      </c>
      <c r="I98">
        <v>0</v>
      </c>
      <c r="J98">
        <v>818368.68901913101</v>
      </c>
      <c r="L98">
        <v>8779.0040000000008</v>
      </c>
      <c r="M98">
        <v>157587.50828558599</v>
      </c>
    </row>
    <row r="99" spans="7:13" x14ac:dyDescent="0.25">
      <c r="G99">
        <v>8780.0040000000008</v>
      </c>
      <c r="H99">
        <v>818470.57901913102</v>
      </c>
      <c r="I99">
        <v>0</v>
      </c>
      <c r="J99">
        <v>818470.57901913102</v>
      </c>
      <c r="L99">
        <v>8780.0040000000008</v>
      </c>
      <c r="M99">
        <v>157618.953285586</v>
      </c>
    </row>
    <row r="100" spans="7:13" x14ac:dyDescent="0.25">
      <c r="G100">
        <v>8781.0040000000008</v>
      </c>
      <c r="H100">
        <v>818566.96001913096</v>
      </c>
      <c r="I100">
        <v>0</v>
      </c>
      <c r="J100">
        <v>818566.96001913096</v>
      </c>
      <c r="L100">
        <v>8781.0040000000008</v>
      </c>
      <c r="M100">
        <v>157653.30028558601</v>
      </c>
    </row>
    <row r="101" spans="7:13" x14ac:dyDescent="0.25">
      <c r="G101">
        <v>8782.0040000000008</v>
      </c>
      <c r="H101">
        <v>818649.01601913106</v>
      </c>
      <c r="I101">
        <v>0</v>
      </c>
      <c r="J101">
        <v>818649.01601913106</v>
      </c>
      <c r="L101">
        <v>8782.0040000000008</v>
      </c>
      <c r="M101">
        <v>157683.157285586</v>
      </c>
    </row>
    <row r="102" spans="7:13" x14ac:dyDescent="0.25">
      <c r="G102">
        <v>8783.0040000000008</v>
      </c>
      <c r="H102">
        <v>818723.99101913103</v>
      </c>
      <c r="I102">
        <v>0</v>
      </c>
      <c r="J102">
        <v>818723.99101913103</v>
      </c>
      <c r="L102">
        <v>8783.0040000000008</v>
      </c>
      <c r="M102">
        <v>157707.630285586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F703-864B-4444-B915-36206D10914C}">
  <dimension ref="L65:L66"/>
  <sheetViews>
    <sheetView workbookViewId="0">
      <selection activeCell="G2" sqref="G2"/>
    </sheetView>
  </sheetViews>
  <sheetFormatPr defaultRowHeight="15" x14ac:dyDescent="0.25"/>
  <cols>
    <col min="8" max="8" width="24.85546875" bestFit="1" customWidth="1"/>
    <col min="9" max="9" width="28.85546875" bestFit="1" customWidth="1"/>
    <col min="10" max="10" width="30.85546875" bestFit="1" customWidth="1"/>
    <col min="11" max="11" width="27.140625" bestFit="1" customWidth="1"/>
  </cols>
  <sheetData>
    <row r="65" spans="12:12" x14ac:dyDescent="0.25">
      <c r="L65" s="4"/>
    </row>
    <row r="66" spans="12:12" x14ac:dyDescent="0.25">
      <c r="L6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14C5-7DBA-4377-AA29-F56A26D208BE}">
  <dimension ref="B2:W102"/>
  <sheetViews>
    <sheetView workbookViewId="0">
      <selection activeCell="B10" sqref="B10"/>
    </sheetView>
  </sheetViews>
  <sheetFormatPr defaultRowHeight="15" x14ac:dyDescent="0.25"/>
  <cols>
    <col min="8" max="8" width="26.5703125" customWidth="1"/>
    <col min="9" max="9" width="30.85546875" customWidth="1"/>
    <col min="10" max="10" width="27.42578125" customWidth="1"/>
    <col min="11" max="11" width="26.5703125" customWidth="1"/>
    <col min="12" max="12" width="20.5703125" customWidth="1"/>
    <col min="15" max="15" width="24.5703125" bestFit="1" customWidth="1"/>
    <col min="16" max="16" width="19.140625" customWidth="1"/>
    <col min="20" max="20" width="13.140625" customWidth="1"/>
  </cols>
  <sheetData>
    <row r="2" spans="2:23" x14ac:dyDescent="0.25">
      <c r="B2" t="s">
        <v>68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O2" t="s">
        <v>51</v>
      </c>
      <c r="P2" t="s">
        <v>40</v>
      </c>
      <c r="Q2" t="s">
        <v>41</v>
      </c>
      <c r="T2" t="s">
        <v>52</v>
      </c>
      <c r="W2" t="s">
        <v>42</v>
      </c>
    </row>
    <row r="3" spans="2:23" x14ac:dyDescent="0.25">
      <c r="B3" t="s">
        <v>90</v>
      </c>
      <c r="G3">
        <v>8684.0059999999994</v>
      </c>
      <c r="H3">
        <v>122954.129431872</v>
      </c>
      <c r="I3">
        <v>327432.316458127</v>
      </c>
      <c r="J3">
        <v>450386.44588999799</v>
      </c>
      <c r="K3">
        <v>327547.08839825803</v>
      </c>
      <c r="L3">
        <v>66935.474361926797</v>
      </c>
      <c r="N3">
        <v>8684.0059999999994</v>
      </c>
      <c r="O3">
        <v>614097.66920703999</v>
      </c>
      <c r="P3">
        <v>41995.226917806198</v>
      </c>
      <c r="Q3">
        <v>656092.896124847</v>
      </c>
      <c r="S3">
        <v>8684.0059999999994</v>
      </c>
      <c r="T3">
        <v>68970.355624608201</v>
      </c>
      <c r="V3">
        <v>8684.0059999999994</v>
      </c>
      <c r="W3">
        <v>117221.536648669</v>
      </c>
    </row>
    <row r="4" spans="2:23" x14ac:dyDescent="0.25">
      <c r="B4" t="s">
        <v>80</v>
      </c>
      <c r="G4">
        <v>8685.0059999999994</v>
      </c>
      <c r="H4">
        <v>122954.129431872</v>
      </c>
      <c r="I4">
        <v>327507.90645812702</v>
      </c>
      <c r="J4">
        <v>450462.03588999802</v>
      </c>
      <c r="K4">
        <v>327622.67839825701</v>
      </c>
      <c r="L4">
        <v>66935.474361926797</v>
      </c>
      <c r="N4">
        <v>8685.0059999999994</v>
      </c>
      <c r="O4">
        <v>614179.32212976005</v>
      </c>
      <c r="P4">
        <v>42000.0622922353</v>
      </c>
      <c r="Q4">
        <v>656179.38442199596</v>
      </c>
      <c r="S4">
        <v>8685.0059999999994</v>
      </c>
      <c r="T4">
        <v>68970.355624608201</v>
      </c>
      <c r="V4">
        <v>8685.0059999999994</v>
      </c>
      <c r="W4">
        <v>117235.203690412</v>
      </c>
    </row>
    <row r="5" spans="2:23" x14ac:dyDescent="0.25">
      <c r="B5" t="s">
        <v>236</v>
      </c>
      <c r="G5">
        <v>8686.0059999999994</v>
      </c>
      <c r="H5">
        <v>122954.129431872</v>
      </c>
      <c r="I5">
        <v>327571.93645812699</v>
      </c>
      <c r="J5">
        <v>450526.06588999799</v>
      </c>
      <c r="K5">
        <v>327686.70839825697</v>
      </c>
      <c r="L5">
        <v>66935.474361926797</v>
      </c>
      <c r="N5">
        <v>8686.0059999999994</v>
      </c>
      <c r="O5">
        <v>614246.19506176002</v>
      </c>
      <c r="P5">
        <v>42004.897666664598</v>
      </c>
      <c r="Q5">
        <v>656251.09272842505</v>
      </c>
      <c r="S5">
        <v>8686.0059999999994</v>
      </c>
      <c r="T5">
        <v>68970.355624608201</v>
      </c>
      <c r="V5">
        <v>8686.0059999999994</v>
      </c>
      <c r="W5">
        <v>117246.743416137</v>
      </c>
    </row>
    <row r="6" spans="2:23" x14ac:dyDescent="0.25">
      <c r="B6" t="s">
        <v>237</v>
      </c>
      <c r="G6">
        <v>8687.0059999999994</v>
      </c>
      <c r="H6">
        <v>122954.129431872</v>
      </c>
      <c r="I6">
        <v>327623.11645812698</v>
      </c>
      <c r="J6">
        <v>450577.24588999798</v>
      </c>
      <c r="K6">
        <v>327738.07839825703</v>
      </c>
      <c r="L6">
        <v>66935.474361926797</v>
      </c>
      <c r="N6">
        <v>8687.0059999999994</v>
      </c>
      <c r="O6">
        <v>614299.11777138105</v>
      </c>
      <c r="P6">
        <v>42009.733041093801</v>
      </c>
      <c r="Q6">
        <v>656308.85081247496</v>
      </c>
      <c r="S6">
        <v>8687.0059999999994</v>
      </c>
      <c r="T6">
        <v>68970.355624608201</v>
      </c>
      <c r="V6">
        <v>8687.0059999999994</v>
      </c>
      <c r="W6">
        <v>117258.96053224499</v>
      </c>
    </row>
    <row r="7" spans="2:23" x14ac:dyDescent="0.25">
      <c r="B7" t="s">
        <v>238</v>
      </c>
      <c r="G7">
        <v>8688.0059999999994</v>
      </c>
      <c r="H7">
        <v>122954.129431872</v>
      </c>
      <c r="I7">
        <v>327665.256458127</v>
      </c>
      <c r="J7">
        <v>450619.385889998</v>
      </c>
      <c r="K7">
        <v>327780.21839825797</v>
      </c>
      <c r="L7">
        <v>66935.474361926797</v>
      </c>
      <c r="N7">
        <v>8688.0059999999994</v>
      </c>
      <c r="O7">
        <v>614347.59276186</v>
      </c>
      <c r="P7">
        <v>42014.568415522997</v>
      </c>
      <c r="Q7">
        <v>656362.16117738304</v>
      </c>
      <c r="S7">
        <v>8688.0059999999994</v>
      </c>
      <c r="T7">
        <v>68970.355624608201</v>
      </c>
      <c r="V7">
        <v>8688.0059999999994</v>
      </c>
      <c r="W7">
        <v>117272.137203019</v>
      </c>
    </row>
    <row r="8" spans="2:23" x14ac:dyDescent="0.25">
      <c r="B8" t="s">
        <v>239</v>
      </c>
      <c r="G8">
        <v>8689.0059999999994</v>
      </c>
      <c r="H8">
        <v>122954.129431872</v>
      </c>
      <c r="I8">
        <v>327702.02645812702</v>
      </c>
      <c r="J8">
        <v>450656.15588999901</v>
      </c>
      <c r="K8">
        <v>327816.98839825799</v>
      </c>
      <c r="L8">
        <v>66935.474361926797</v>
      </c>
      <c r="N8">
        <v>8689.0059999999994</v>
      </c>
      <c r="O8">
        <v>614389.86303908005</v>
      </c>
      <c r="P8">
        <v>42019.403789952303</v>
      </c>
      <c r="Q8">
        <v>656409.26682903303</v>
      </c>
      <c r="S8">
        <v>8689.0059999999994</v>
      </c>
      <c r="T8">
        <v>68970.355624608201</v>
      </c>
      <c r="V8">
        <v>8689.0059999999994</v>
      </c>
      <c r="W8">
        <v>117284.08505397401</v>
      </c>
    </row>
    <row r="9" spans="2:23" x14ac:dyDescent="0.25">
      <c r="B9" t="s">
        <v>240</v>
      </c>
      <c r="G9">
        <v>8690.0059999999994</v>
      </c>
      <c r="H9">
        <v>122954.129431872</v>
      </c>
      <c r="I9">
        <v>327735.17645812698</v>
      </c>
      <c r="J9">
        <v>450689.30588999798</v>
      </c>
      <c r="K9">
        <v>327850.13839825703</v>
      </c>
      <c r="L9">
        <v>66935.474361926797</v>
      </c>
      <c r="N9">
        <v>8690.0059999999994</v>
      </c>
      <c r="O9">
        <v>614428.16965417995</v>
      </c>
      <c r="P9">
        <v>42024.239164381499</v>
      </c>
      <c r="Q9">
        <v>656452.40881856205</v>
      </c>
      <c r="S9">
        <v>8690.0059999999994</v>
      </c>
      <c r="T9">
        <v>68970.355624608201</v>
      </c>
      <c r="V9">
        <v>8690.0059999999994</v>
      </c>
      <c r="W9">
        <v>117295.06697723499</v>
      </c>
    </row>
    <row r="10" spans="2:23" x14ac:dyDescent="0.25">
      <c r="B10" t="s">
        <v>84</v>
      </c>
      <c r="G10">
        <v>8691.0059999999994</v>
      </c>
      <c r="H10">
        <v>122954.129431872</v>
      </c>
      <c r="I10">
        <v>327766.97645812703</v>
      </c>
      <c r="J10">
        <v>450721.10588999803</v>
      </c>
      <c r="K10">
        <v>327881.938398258</v>
      </c>
      <c r="L10">
        <v>66935.474361926797</v>
      </c>
      <c r="N10">
        <v>8691.0059999999994</v>
      </c>
      <c r="O10">
        <v>614465.24839057995</v>
      </c>
      <c r="P10">
        <v>42029.074538810703</v>
      </c>
      <c r="Q10">
        <v>656494.32292939106</v>
      </c>
      <c r="S10">
        <v>8691.0059999999994</v>
      </c>
      <c r="T10">
        <v>68970.355624608201</v>
      </c>
      <c r="V10">
        <v>8691.0059999999994</v>
      </c>
      <c r="W10">
        <v>117307.218479155</v>
      </c>
    </row>
    <row r="11" spans="2:23" x14ac:dyDescent="0.25">
      <c r="B11" t="s">
        <v>241</v>
      </c>
      <c r="G11">
        <v>8692.0059999999994</v>
      </c>
      <c r="H11">
        <v>122954.129431872</v>
      </c>
      <c r="I11">
        <v>327796.91645812697</v>
      </c>
      <c r="J11">
        <v>450751.04588999797</v>
      </c>
      <c r="K11">
        <v>327911.87839825801</v>
      </c>
      <c r="L11">
        <v>66935.474361926797</v>
      </c>
      <c r="N11">
        <v>8692.0059999999994</v>
      </c>
      <c r="O11">
        <v>614502.25788326003</v>
      </c>
      <c r="P11">
        <v>42033.909913239899</v>
      </c>
      <c r="Q11">
        <v>656536.16779650003</v>
      </c>
      <c r="S11">
        <v>8692.0059999999994</v>
      </c>
      <c r="T11">
        <v>68970.355624608201</v>
      </c>
      <c r="V11">
        <v>8692.0059999999994</v>
      </c>
      <c r="W11">
        <v>117320.244534357</v>
      </c>
    </row>
    <row r="12" spans="2:23" x14ac:dyDescent="0.25">
      <c r="B12" t="s">
        <v>242</v>
      </c>
      <c r="G12">
        <v>8693.0059999999994</v>
      </c>
      <c r="H12">
        <v>122954.129431872</v>
      </c>
      <c r="I12">
        <v>327828.77645812702</v>
      </c>
      <c r="J12">
        <v>450782.90588999802</v>
      </c>
      <c r="K12">
        <v>327943.738398257</v>
      </c>
      <c r="L12">
        <v>66935.474361926797</v>
      </c>
      <c r="N12">
        <v>8693.0059999999994</v>
      </c>
      <c r="O12">
        <v>614544.32646446</v>
      </c>
      <c r="P12">
        <v>42038.745287669102</v>
      </c>
      <c r="Q12">
        <v>656583.07175213005</v>
      </c>
      <c r="S12">
        <v>8693.0059999999994</v>
      </c>
      <c r="T12">
        <v>68970.355624608201</v>
      </c>
      <c r="V12">
        <v>8693.0059999999994</v>
      </c>
      <c r="W12">
        <v>117334.747649615</v>
      </c>
    </row>
    <row r="13" spans="2:23" x14ac:dyDescent="0.25">
      <c r="B13" t="s">
        <v>243</v>
      </c>
      <c r="G13">
        <v>8694.0059999999994</v>
      </c>
      <c r="H13">
        <v>122954.129431872</v>
      </c>
      <c r="I13">
        <v>327870.65645812702</v>
      </c>
      <c r="J13">
        <v>450824.78588999802</v>
      </c>
      <c r="K13">
        <v>327985.61839825701</v>
      </c>
      <c r="L13">
        <v>66935.474361926797</v>
      </c>
      <c r="N13">
        <v>8694.0059999999994</v>
      </c>
      <c r="O13">
        <v>614601.46896037995</v>
      </c>
      <c r="P13">
        <v>42043.5806620984</v>
      </c>
      <c r="Q13">
        <v>656645.04962247901</v>
      </c>
      <c r="S13">
        <v>8694.0059999999994</v>
      </c>
      <c r="T13">
        <v>68970.355624608201</v>
      </c>
      <c r="V13">
        <v>8694.0059999999994</v>
      </c>
      <c r="W13">
        <v>117356.233849971</v>
      </c>
    </row>
    <row r="14" spans="2:23" x14ac:dyDescent="0.25">
      <c r="B14" t="s">
        <v>86</v>
      </c>
      <c r="G14">
        <v>8695.0059999999994</v>
      </c>
      <c r="H14">
        <v>122954.129431872</v>
      </c>
      <c r="I14">
        <v>327919.29645812698</v>
      </c>
      <c r="J14">
        <v>450873.42588999798</v>
      </c>
      <c r="K14">
        <v>328034.25839825702</v>
      </c>
      <c r="L14">
        <v>66935.474361926797</v>
      </c>
      <c r="N14">
        <v>8695.0059999999994</v>
      </c>
      <c r="O14">
        <v>614673.64070054004</v>
      </c>
      <c r="P14">
        <v>42048.416036527597</v>
      </c>
      <c r="Q14">
        <v>656722.05673706799</v>
      </c>
      <c r="S14">
        <v>8695.0059999999994</v>
      </c>
      <c r="T14">
        <v>68970.355624608201</v>
      </c>
      <c r="V14">
        <v>8695.0059999999994</v>
      </c>
      <c r="W14">
        <v>117385.23529727101</v>
      </c>
    </row>
    <row r="15" spans="2:23" x14ac:dyDescent="0.25">
      <c r="B15" t="s">
        <v>82</v>
      </c>
      <c r="G15">
        <v>8696.0059999999994</v>
      </c>
      <c r="H15">
        <v>122954.194133364</v>
      </c>
      <c r="I15">
        <v>327972.44175663497</v>
      </c>
      <c r="J15">
        <v>450926.63588999899</v>
      </c>
      <c r="K15">
        <v>328087.40369676502</v>
      </c>
      <c r="L15">
        <v>66935.474361926797</v>
      </c>
      <c r="N15">
        <v>8696.0059999999994</v>
      </c>
      <c r="O15">
        <v>614757.25494271598</v>
      </c>
      <c r="P15">
        <v>42053.2514109568</v>
      </c>
      <c r="Q15">
        <v>656810.50635367294</v>
      </c>
      <c r="S15">
        <v>8696.0059999999994</v>
      </c>
      <c r="T15">
        <v>68970.355624608201</v>
      </c>
      <c r="V15">
        <v>8696.0059999999994</v>
      </c>
      <c r="W15">
        <v>117418.571820661</v>
      </c>
    </row>
    <row r="16" spans="2:23" x14ac:dyDescent="0.25">
      <c r="B16" t="s">
        <v>244</v>
      </c>
      <c r="G16">
        <v>8697.0059999999994</v>
      </c>
      <c r="H16">
        <v>122957.472976648</v>
      </c>
      <c r="I16">
        <v>328032.66291335103</v>
      </c>
      <c r="J16">
        <v>450990.135889998</v>
      </c>
      <c r="K16">
        <v>328147.62485348101</v>
      </c>
      <c r="L16">
        <v>66935.555544345902</v>
      </c>
      <c r="N16">
        <v>8697.0059999999994</v>
      </c>
      <c r="O16">
        <v>614864.62565187202</v>
      </c>
      <c r="P16">
        <v>42058.086785386098</v>
      </c>
      <c r="Q16">
        <v>656922.71243725799</v>
      </c>
      <c r="S16">
        <v>8697.0059999999994</v>
      </c>
      <c r="T16">
        <v>68970.444156227793</v>
      </c>
      <c r="V16">
        <v>8697.0059999999994</v>
      </c>
      <c r="W16">
        <v>117458.234450672</v>
      </c>
    </row>
    <row r="17" spans="2:23" x14ac:dyDescent="0.25">
      <c r="B17" t="s">
        <v>245</v>
      </c>
      <c r="G17">
        <v>8698.0059999999994</v>
      </c>
      <c r="H17">
        <v>122969.91469306601</v>
      </c>
      <c r="I17">
        <v>328088.79119693302</v>
      </c>
      <c r="J17">
        <v>451058.705889998</v>
      </c>
      <c r="K17">
        <v>328203.753137063</v>
      </c>
      <c r="L17">
        <v>66938.669476105701</v>
      </c>
      <c r="N17">
        <v>8698.0059999999994</v>
      </c>
      <c r="O17">
        <v>614965.99703648896</v>
      </c>
      <c r="P17">
        <v>42062.922159815302</v>
      </c>
      <c r="Q17">
        <v>657028.91919630405</v>
      </c>
      <c r="S17">
        <v>8698.0059999999994</v>
      </c>
      <c r="T17">
        <v>68973.601671763696</v>
      </c>
      <c r="V17">
        <v>8698.0059999999994</v>
      </c>
      <c r="W17">
        <v>117494.265845362</v>
      </c>
    </row>
    <row r="18" spans="2:23" x14ac:dyDescent="0.25">
      <c r="B18" t="s">
        <v>78</v>
      </c>
      <c r="G18">
        <v>8699.0059999999994</v>
      </c>
      <c r="H18">
        <v>122988.065364707</v>
      </c>
      <c r="I18">
        <v>328141.81052529102</v>
      </c>
      <c r="J18">
        <v>451129.87588999799</v>
      </c>
      <c r="K18">
        <v>328256.77246542199</v>
      </c>
      <c r="L18">
        <v>66945.357177042999</v>
      </c>
      <c r="N18">
        <v>8699.0059999999994</v>
      </c>
      <c r="O18">
        <v>615050.04592676798</v>
      </c>
      <c r="P18">
        <v>42067.757534244498</v>
      </c>
      <c r="Q18">
        <v>657117.80346101196</v>
      </c>
      <c r="S18">
        <v>8699.0059999999994</v>
      </c>
      <c r="T18">
        <v>68979.484723797301</v>
      </c>
      <c r="V18">
        <v>8699.0059999999994</v>
      </c>
      <c r="W18">
        <v>117527.648795299</v>
      </c>
    </row>
    <row r="19" spans="2:23" x14ac:dyDescent="0.25">
      <c r="B19" t="s">
        <v>92</v>
      </c>
      <c r="G19">
        <v>8700.0059999999994</v>
      </c>
      <c r="H19">
        <v>123005.369207991</v>
      </c>
      <c r="I19">
        <v>328185.41668200702</v>
      </c>
      <c r="J19">
        <v>451190.78588999802</v>
      </c>
      <c r="K19">
        <v>328300.378622138</v>
      </c>
      <c r="L19">
        <v>66951.636717006302</v>
      </c>
      <c r="N19">
        <v>8700.0059999999994</v>
      </c>
      <c r="O19">
        <v>615116.76535242703</v>
      </c>
      <c r="P19">
        <v>42072.592908673701</v>
      </c>
      <c r="Q19">
        <v>657189.35826110095</v>
      </c>
      <c r="S19">
        <v>8700.0059999999994</v>
      </c>
      <c r="T19">
        <v>68984.576636957601</v>
      </c>
      <c r="V19">
        <v>8700.0059999999994</v>
      </c>
      <c r="W19">
        <v>117553.743611117</v>
      </c>
    </row>
    <row r="20" spans="2:23" x14ac:dyDescent="0.25">
      <c r="B20" t="s">
        <v>94</v>
      </c>
      <c r="G20">
        <v>8701.0059999999994</v>
      </c>
      <c r="H20">
        <v>123017.500737842</v>
      </c>
      <c r="I20">
        <v>328233.78515215701</v>
      </c>
      <c r="J20">
        <v>451251.28588999802</v>
      </c>
      <c r="K20">
        <v>328348.747092287</v>
      </c>
      <c r="L20">
        <v>66954.2279291335</v>
      </c>
      <c r="N20">
        <v>8701.0059999999994</v>
      </c>
      <c r="O20">
        <v>615187.88470640697</v>
      </c>
      <c r="P20">
        <v>42077.428283102898</v>
      </c>
      <c r="Q20">
        <v>657265.31298951001</v>
      </c>
      <c r="S20">
        <v>8701.0059999999994</v>
      </c>
      <c r="T20">
        <v>68986.838984330694</v>
      </c>
      <c r="V20">
        <v>8701.0059999999994</v>
      </c>
      <c r="W20">
        <v>117579.965444117</v>
      </c>
    </row>
    <row r="21" spans="2:23" x14ac:dyDescent="0.25">
      <c r="B21" t="s">
        <v>96</v>
      </c>
      <c r="G21">
        <v>8702.0059999999994</v>
      </c>
      <c r="H21">
        <v>123022.76439455801</v>
      </c>
      <c r="I21">
        <v>328290.03149543999</v>
      </c>
      <c r="J21">
        <v>451312.79588999797</v>
      </c>
      <c r="K21">
        <v>328404.99343557103</v>
      </c>
      <c r="L21">
        <v>66954.355026382007</v>
      </c>
      <c r="N21">
        <v>8702.0059999999994</v>
      </c>
      <c r="O21">
        <v>615267.48239406105</v>
      </c>
      <c r="P21">
        <v>42082.263657532101</v>
      </c>
      <c r="Q21">
        <v>657349.74605159299</v>
      </c>
      <c r="S21">
        <v>8702.0059999999994</v>
      </c>
      <c r="T21">
        <v>68986.947735306094</v>
      </c>
      <c r="V21">
        <v>8702.0059999999994</v>
      </c>
      <c r="W21">
        <v>117606.59135430399</v>
      </c>
    </row>
    <row r="22" spans="2:23" x14ac:dyDescent="0.25">
      <c r="B22" t="s">
        <v>98</v>
      </c>
      <c r="G22">
        <v>8703.0059999999994</v>
      </c>
      <c r="H22">
        <v>123023.243946797</v>
      </c>
      <c r="I22">
        <v>328356.18194320198</v>
      </c>
      <c r="J22">
        <v>451379.42588999798</v>
      </c>
      <c r="K22">
        <v>328471.14388333203</v>
      </c>
      <c r="L22">
        <v>66954.355026382007</v>
      </c>
      <c r="N22">
        <v>8703.0059999999994</v>
      </c>
      <c r="O22">
        <v>615360.25707403698</v>
      </c>
      <c r="P22">
        <v>42087.099031961399</v>
      </c>
      <c r="Q22">
        <v>657447.35610599804</v>
      </c>
      <c r="S22">
        <v>8703.0059999999994</v>
      </c>
      <c r="T22">
        <v>68986.947735306094</v>
      </c>
      <c r="V22">
        <v>8703.0059999999994</v>
      </c>
      <c r="W22">
        <v>117632.903586014</v>
      </c>
    </row>
    <row r="23" spans="2:23" x14ac:dyDescent="0.25">
      <c r="B23" t="s">
        <v>100</v>
      </c>
      <c r="G23">
        <v>8704.0059999999994</v>
      </c>
      <c r="H23">
        <v>123023.245849782</v>
      </c>
      <c r="I23">
        <v>328441.410040216</v>
      </c>
      <c r="J23">
        <v>451464.65588999802</v>
      </c>
      <c r="K23">
        <v>328556.37198034697</v>
      </c>
      <c r="L23">
        <v>66954.355026382007</v>
      </c>
      <c r="N23">
        <v>8704.0059999999994</v>
      </c>
      <c r="O23">
        <v>615482.52172243397</v>
      </c>
      <c r="P23">
        <v>42091.934406390603</v>
      </c>
      <c r="Q23">
        <v>657574.45612882497</v>
      </c>
      <c r="S23">
        <v>8704.0059999999994</v>
      </c>
      <c r="T23">
        <v>68986.947735306094</v>
      </c>
      <c r="V23">
        <v>8704.0059999999994</v>
      </c>
      <c r="W23">
        <v>117662.270105975</v>
      </c>
    </row>
    <row r="24" spans="2:23" x14ac:dyDescent="0.25">
      <c r="B24" t="s">
        <v>102</v>
      </c>
      <c r="G24">
        <v>8705.0059999999994</v>
      </c>
      <c r="H24">
        <v>123023.245849782</v>
      </c>
      <c r="I24">
        <v>328552.12004021602</v>
      </c>
      <c r="J24">
        <v>451575.36588999798</v>
      </c>
      <c r="K24">
        <v>328667.08198034699</v>
      </c>
      <c r="L24">
        <v>66954.355026382007</v>
      </c>
      <c r="N24">
        <v>8705.0059999999994</v>
      </c>
      <c r="O24">
        <v>615636.88179697399</v>
      </c>
      <c r="P24">
        <v>42096.769780819799</v>
      </c>
      <c r="Q24">
        <v>657733.65157779399</v>
      </c>
      <c r="S24">
        <v>8705.0059999999994</v>
      </c>
      <c r="T24">
        <v>68986.947735306094</v>
      </c>
      <c r="V24">
        <v>8705.0059999999994</v>
      </c>
      <c r="W24">
        <v>117697.556203017</v>
      </c>
    </row>
    <row r="25" spans="2:23" x14ac:dyDescent="0.25">
      <c r="B25" t="s">
        <v>104</v>
      </c>
      <c r="G25">
        <v>8706.0059999999994</v>
      </c>
      <c r="H25">
        <v>123023.245849782</v>
      </c>
      <c r="I25">
        <v>328669.96004021697</v>
      </c>
      <c r="J25">
        <v>451693.205889998</v>
      </c>
      <c r="K25">
        <v>328784.92198034702</v>
      </c>
      <c r="L25">
        <v>66954.355026382007</v>
      </c>
      <c r="N25">
        <v>8706.0059999999994</v>
      </c>
      <c r="O25">
        <v>615795.64480081399</v>
      </c>
      <c r="P25">
        <v>42101.605155249097</v>
      </c>
      <c r="Q25">
        <v>657897.24995606299</v>
      </c>
      <c r="S25">
        <v>8706.0059999999994</v>
      </c>
      <c r="T25">
        <v>68986.947735306094</v>
      </c>
      <c r="V25">
        <v>8706.0059999999994</v>
      </c>
      <c r="W25">
        <v>117728.563280824</v>
      </c>
    </row>
    <row r="26" spans="2:23" x14ac:dyDescent="0.25">
      <c r="B26" t="s">
        <v>106</v>
      </c>
      <c r="G26">
        <v>8707.0059999999994</v>
      </c>
      <c r="H26">
        <v>123023.245849782</v>
      </c>
      <c r="I26">
        <v>328766.040040216</v>
      </c>
      <c r="J26">
        <v>451789.28588999802</v>
      </c>
      <c r="K26">
        <v>328881.00198034698</v>
      </c>
      <c r="L26">
        <v>66954.355026382007</v>
      </c>
      <c r="N26">
        <v>8707.0059999999994</v>
      </c>
      <c r="O26">
        <v>615913.47961873398</v>
      </c>
      <c r="P26">
        <v>42106.440529678301</v>
      </c>
      <c r="Q26">
        <v>658019.92014841305</v>
      </c>
      <c r="S26">
        <v>8707.0059999999994</v>
      </c>
      <c r="T26">
        <v>68986.947735306094</v>
      </c>
      <c r="V26">
        <v>8707.0059999999994</v>
      </c>
      <c r="W26">
        <v>117750.25689791</v>
      </c>
    </row>
    <row r="27" spans="2:23" x14ac:dyDescent="0.25">
      <c r="B27" t="s">
        <v>108</v>
      </c>
      <c r="G27">
        <v>8708.0059999999994</v>
      </c>
      <c r="H27">
        <v>123023.245849782</v>
      </c>
      <c r="I27">
        <v>328855.29004021699</v>
      </c>
      <c r="J27">
        <v>451878.53588999802</v>
      </c>
      <c r="K27">
        <v>328970.25198034698</v>
      </c>
      <c r="L27">
        <v>66954.355026382007</v>
      </c>
      <c r="N27">
        <v>8708.0059999999994</v>
      </c>
      <c r="O27">
        <v>615999.50162473496</v>
      </c>
      <c r="P27">
        <v>42111.275904107497</v>
      </c>
      <c r="Q27">
        <v>658110.77752884198</v>
      </c>
      <c r="S27">
        <v>8708.0059999999994</v>
      </c>
      <c r="T27">
        <v>68986.947735306094</v>
      </c>
      <c r="V27">
        <v>8708.0059999999994</v>
      </c>
      <c r="W27">
        <v>117767.21577684001</v>
      </c>
    </row>
    <row r="28" spans="2:23" x14ac:dyDescent="0.25">
      <c r="B28" t="s">
        <v>110</v>
      </c>
      <c r="G28">
        <v>8709.0059999999994</v>
      </c>
      <c r="H28">
        <v>123023.245849782</v>
      </c>
      <c r="I28">
        <v>328928.26004021597</v>
      </c>
      <c r="J28">
        <v>451951.50588999799</v>
      </c>
      <c r="K28">
        <v>329043.22198034701</v>
      </c>
      <c r="L28">
        <v>66954.355026382007</v>
      </c>
      <c r="N28">
        <v>8709.0059999999994</v>
      </c>
      <c r="O28">
        <v>616068.525990895</v>
      </c>
      <c r="P28">
        <v>42116.1112785367</v>
      </c>
      <c r="Q28">
        <v>658184.63726943103</v>
      </c>
      <c r="S28">
        <v>8709.0059999999994</v>
      </c>
      <c r="T28">
        <v>68986.947735306094</v>
      </c>
      <c r="V28">
        <v>8709.0059999999994</v>
      </c>
      <c r="W28">
        <v>117780.62188648101</v>
      </c>
    </row>
    <row r="29" spans="2:23" x14ac:dyDescent="0.25">
      <c r="B29" t="s">
        <v>112</v>
      </c>
      <c r="G29">
        <v>8710.0059999999994</v>
      </c>
      <c r="H29">
        <v>123023.245849782</v>
      </c>
      <c r="I29">
        <v>328995.12004021602</v>
      </c>
      <c r="J29">
        <v>452018.36588999798</v>
      </c>
      <c r="K29">
        <v>329110.08198034699</v>
      </c>
      <c r="L29">
        <v>66954.355026382007</v>
      </c>
      <c r="N29">
        <v>8710.0059999999994</v>
      </c>
      <c r="O29">
        <v>616129.925267254</v>
      </c>
      <c r="P29">
        <v>42120.946652965897</v>
      </c>
      <c r="Q29">
        <v>658250.87192021997</v>
      </c>
      <c r="S29">
        <v>8710.0059999999994</v>
      </c>
      <c r="T29">
        <v>68986.947735306094</v>
      </c>
      <c r="V29">
        <v>8710.0059999999994</v>
      </c>
      <c r="W29">
        <v>117791.89497864799</v>
      </c>
    </row>
    <row r="30" spans="2:23" x14ac:dyDescent="0.25">
      <c r="B30" t="s">
        <v>114</v>
      </c>
      <c r="G30">
        <v>8711.0059999999994</v>
      </c>
      <c r="H30">
        <v>123023.245849782</v>
      </c>
      <c r="I30">
        <v>329050.43004021602</v>
      </c>
      <c r="J30">
        <v>452073.67588999798</v>
      </c>
      <c r="K30">
        <v>329165.39198034699</v>
      </c>
      <c r="L30">
        <v>66954.355026382007</v>
      </c>
      <c r="N30">
        <v>8711.0059999999994</v>
      </c>
      <c r="O30">
        <v>616178.65481531399</v>
      </c>
      <c r="P30">
        <v>42125.782027395202</v>
      </c>
      <c r="Q30">
        <v>658304.43684271001</v>
      </c>
      <c r="S30">
        <v>8711.0059999999994</v>
      </c>
      <c r="T30">
        <v>68986.947735306094</v>
      </c>
      <c r="V30">
        <v>8711.0059999999994</v>
      </c>
      <c r="W30">
        <v>117800.826421506</v>
      </c>
    </row>
    <row r="31" spans="2:23" x14ac:dyDescent="0.25">
      <c r="G31">
        <v>8712.0059999999994</v>
      </c>
      <c r="H31">
        <v>123023.245849782</v>
      </c>
      <c r="I31">
        <v>329093.51004021597</v>
      </c>
      <c r="J31">
        <v>452116.75588999799</v>
      </c>
      <c r="K31">
        <v>329208.47198034701</v>
      </c>
      <c r="L31">
        <v>66954.355026382007</v>
      </c>
      <c r="N31">
        <v>8712.0059999999994</v>
      </c>
      <c r="O31">
        <v>616225.35086435406</v>
      </c>
      <c r="P31">
        <v>42130.617401824398</v>
      </c>
      <c r="Q31">
        <v>658355.96826617897</v>
      </c>
      <c r="S31">
        <v>8712.0059999999994</v>
      </c>
      <c r="T31">
        <v>68986.947735306094</v>
      </c>
      <c r="V31">
        <v>8712.0059999999994</v>
      </c>
      <c r="W31">
        <v>117807.590397723</v>
      </c>
    </row>
    <row r="32" spans="2:23" x14ac:dyDescent="0.25">
      <c r="G32">
        <v>8713.0059999999994</v>
      </c>
      <c r="H32">
        <v>123023.245849782</v>
      </c>
      <c r="I32">
        <v>329128.680040217</v>
      </c>
      <c r="J32">
        <v>452151.92588999798</v>
      </c>
      <c r="K32">
        <v>329243.64198034699</v>
      </c>
      <c r="L32">
        <v>66954.355026382007</v>
      </c>
      <c r="N32">
        <v>8713.0059999999994</v>
      </c>
      <c r="O32">
        <v>616263.053174695</v>
      </c>
      <c r="P32">
        <v>42135.452776253602</v>
      </c>
      <c r="Q32">
        <v>658398.50595094799</v>
      </c>
      <c r="S32">
        <v>8713.0059999999994</v>
      </c>
      <c r="T32">
        <v>68986.947735306094</v>
      </c>
      <c r="V32">
        <v>8713.0059999999994</v>
      </c>
      <c r="W32">
        <v>117812.559197701</v>
      </c>
    </row>
    <row r="33" spans="7:23" x14ac:dyDescent="0.25">
      <c r="G33">
        <v>8714.0059999999994</v>
      </c>
      <c r="H33">
        <v>123023.245849782</v>
      </c>
      <c r="I33">
        <v>329162.550040217</v>
      </c>
      <c r="J33">
        <v>452185.79588999797</v>
      </c>
      <c r="K33">
        <v>329277.51198034699</v>
      </c>
      <c r="L33">
        <v>66954.355026382007</v>
      </c>
      <c r="N33">
        <v>8714.0059999999994</v>
      </c>
      <c r="O33">
        <v>616299.08394521405</v>
      </c>
      <c r="P33">
        <v>42140.288150682798</v>
      </c>
      <c r="Q33">
        <v>658439.37209589698</v>
      </c>
      <c r="S33">
        <v>8714.0059999999994</v>
      </c>
      <c r="T33">
        <v>68986.947735306094</v>
      </c>
      <c r="V33">
        <v>8714.0059999999994</v>
      </c>
      <c r="W33">
        <v>117817.518584747</v>
      </c>
    </row>
    <row r="34" spans="7:23" x14ac:dyDescent="0.25">
      <c r="G34">
        <v>8715.0059999999994</v>
      </c>
      <c r="H34">
        <v>123023.245849782</v>
      </c>
      <c r="I34">
        <v>329194.180040217</v>
      </c>
      <c r="J34">
        <v>452217.42588999798</v>
      </c>
      <c r="K34">
        <v>329309.14198034699</v>
      </c>
      <c r="L34">
        <v>66954.355026382007</v>
      </c>
      <c r="N34">
        <v>8715.0059999999994</v>
      </c>
      <c r="O34">
        <v>616331.882357414</v>
      </c>
      <c r="P34">
        <v>42145.123525112002</v>
      </c>
      <c r="Q34">
        <v>658477.00588252698</v>
      </c>
      <c r="S34">
        <v>8715.0059999999994</v>
      </c>
      <c r="T34">
        <v>68986.947735306094</v>
      </c>
      <c r="V34">
        <v>8715.0059999999994</v>
      </c>
      <c r="W34">
        <v>117822.652570398</v>
      </c>
    </row>
    <row r="35" spans="7:23" x14ac:dyDescent="0.25">
      <c r="G35">
        <v>8716.0059999999994</v>
      </c>
      <c r="H35">
        <v>123023.245849782</v>
      </c>
      <c r="I35">
        <v>329225.230040216</v>
      </c>
      <c r="J35">
        <v>452248.47588999802</v>
      </c>
      <c r="K35">
        <v>329340.19198034698</v>
      </c>
      <c r="L35">
        <v>66954.355026382007</v>
      </c>
      <c r="N35">
        <v>8716.0059999999994</v>
      </c>
      <c r="O35">
        <v>616364.35730401496</v>
      </c>
      <c r="P35">
        <v>42149.9588995413</v>
      </c>
      <c r="Q35">
        <v>658514.31620355602</v>
      </c>
      <c r="S35">
        <v>8716.0059999999994</v>
      </c>
      <c r="T35">
        <v>68986.947735306094</v>
      </c>
      <c r="V35">
        <v>8716.0059999999994</v>
      </c>
      <c r="W35">
        <v>117827.055567613</v>
      </c>
    </row>
    <row r="36" spans="7:23" x14ac:dyDescent="0.25">
      <c r="G36">
        <v>8717.0059999999994</v>
      </c>
      <c r="H36">
        <v>123023.245849782</v>
      </c>
      <c r="I36">
        <v>329258.74004021601</v>
      </c>
      <c r="J36">
        <v>452281.98588999797</v>
      </c>
      <c r="K36">
        <v>329373.75198034698</v>
      </c>
      <c r="L36">
        <v>66954.355026382007</v>
      </c>
      <c r="N36">
        <v>8717.0059999999994</v>
      </c>
      <c r="O36">
        <v>616400.18347657402</v>
      </c>
      <c r="P36">
        <v>42154.794273970503</v>
      </c>
      <c r="Q36">
        <v>658554.97775054502</v>
      </c>
      <c r="S36">
        <v>8717.0059999999994</v>
      </c>
      <c r="T36">
        <v>68986.947735306094</v>
      </c>
      <c r="V36">
        <v>8717.0059999999994</v>
      </c>
      <c r="W36">
        <v>117831.610820277</v>
      </c>
    </row>
    <row r="37" spans="7:23" x14ac:dyDescent="0.25">
      <c r="G37">
        <v>8718.0059999999994</v>
      </c>
      <c r="H37">
        <v>123023.245849782</v>
      </c>
      <c r="I37">
        <v>329299.76004021702</v>
      </c>
      <c r="J37">
        <v>452323.00588999799</v>
      </c>
      <c r="K37">
        <v>329414.771980347</v>
      </c>
      <c r="L37">
        <v>66954.355026382007</v>
      </c>
      <c r="N37">
        <v>8718.0059999999994</v>
      </c>
      <c r="O37">
        <v>616444.43240689498</v>
      </c>
      <c r="P37">
        <v>42159.629648399699</v>
      </c>
      <c r="Q37">
        <v>658604.06205529405</v>
      </c>
      <c r="S37">
        <v>8718.0059999999994</v>
      </c>
      <c r="T37">
        <v>68986.947735306094</v>
      </c>
      <c r="V37">
        <v>8718.0059999999994</v>
      </c>
      <c r="W37">
        <v>117837.757500126</v>
      </c>
    </row>
    <row r="38" spans="7:23" x14ac:dyDescent="0.25">
      <c r="G38">
        <v>8719.0059999999994</v>
      </c>
      <c r="H38">
        <v>123023.245849782</v>
      </c>
      <c r="I38">
        <v>329347.10004021699</v>
      </c>
      <c r="J38">
        <v>452370.34588999802</v>
      </c>
      <c r="K38">
        <v>329462.19198034698</v>
      </c>
      <c r="L38">
        <v>66954.355026382007</v>
      </c>
      <c r="N38">
        <v>8719.0059999999994</v>
      </c>
      <c r="O38">
        <v>616495.51436897495</v>
      </c>
      <c r="P38">
        <v>42164.465022828997</v>
      </c>
      <c r="Q38">
        <v>658659.97939180396</v>
      </c>
      <c r="S38">
        <v>8719.0059999999994</v>
      </c>
      <c r="T38">
        <v>68986.947735306094</v>
      </c>
      <c r="V38">
        <v>8719.0059999999994</v>
      </c>
      <c r="W38">
        <v>117846.464006155</v>
      </c>
    </row>
    <row r="39" spans="7:23" x14ac:dyDescent="0.25">
      <c r="G39">
        <v>8720.0059999999994</v>
      </c>
      <c r="H39">
        <v>123023.251558737</v>
      </c>
      <c r="I39">
        <v>329408.20433126099</v>
      </c>
      <c r="J39">
        <v>452431.455889998</v>
      </c>
      <c r="K39">
        <v>329523.29627139203</v>
      </c>
      <c r="L39">
        <v>66954.355026382007</v>
      </c>
      <c r="N39">
        <v>8720.0059999999994</v>
      </c>
      <c r="O39">
        <v>616561.70204819995</v>
      </c>
      <c r="P39">
        <v>42169.300397258201</v>
      </c>
      <c r="Q39">
        <v>658731.00244545797</v>
      </c>
      <c r="S39">
        <v>8720.0059999999994</v>
      </c>
      <c r="T39">
        <v>68986.947735306094</v>
      </c>
      <c r="V39">
        <v>8720.0059999999994</v>
      </c>
      <c r="W39">
        <v>117859.295374717</v>
      </c>
    </row>
    <row r="40" spans="7:23" x14ac:dyDescent="0.25">
      <c r="G40">
        <v>8721.0059999999994</v>
      </c>
      <c r="H40">
        <v>123023.87764082701</v>
      </c>
      <c r="I40">
        <v>329474.47824917198</v>
      </c>
      <c r="J40">
        <v>452498.35588999803</v>
      </c>
      <c r="K40">
        <v>329589.57018930197</v>
      </c>
      <c r="L40">
        <v>66954.355026382007</v>
      </c>
      <c r="N40">
        <v>8721.0059999999994</v>
      </c>
      <c r="O40">
        <v>616634.08271000197</v>
      </c>
      <c r="P40">
        <v>42174.135771687397</v>
      </c>
      <c r="Q40">
        <v>658808.21848169004</v>
      </c>
      <c r="S40">
        <v>8721.0059999999994</v>
      </c>
      <c r="T40">
        <v>68986.947735306094</v>
      </c>
      <c r="V40">
        <v>8721.0059999999994</v>
      </c>
      <c r="W40">
        <v>117873.12533854401</v>
      </c>
    </row>
    <row r="41" spans="7:23" x14ac:dyDescent="0.25">
      <c r="G41">
        <v>8722.0059999999994</v>
      </c>
      <c r="H41">
        <v>123026.32297664801</v>
      </c>
      <c r="I41">
        <v>329535.24291335099</v>
      </c>
      <c r="J41">
        <v>452561.56588999799</v>
      </c>
      <c r="K41">
        <v>329650.33485348098</v>
      </c>
      <c r="L41">
        <v>66954.372567565501</v>
      </c>
      <c r="N41">
        <v>8722.0059999999994</v>
      </c>
      <c r="O41">
        <v>616700.44647339697</v>
      </c>
      <c r="P41">
        <v>42178.971146116601</v>
      </c>
      <c r="Q41">
        <v>658879.41761951405</v>
      </c>
      <c r="S41">
        <v>8722.0059999999994</v>
      </c>
      <c r="T41">
        <v>68986.959706100795</v>
      </c>
      <c r="V41">
        <v>8722.0059999999994</v>
      </c>
      <c r="W41">
        <v>117885.54093993201</v>
      </c>
    </row>
    <row r="42" spans="7:23" x14ac:dyDescent="0.25">
      <c r="G42">
        <v>8723.0059999999994</v>
      </c>
      <c r="H42">
        <v>123030.29831246901</v>
      </c>
      <c r="I42">
        <v>329595.42757752998</v>
      </c>
      <c r="J42">
        <v>452625.72588999802</v>
      </c>
      <c r="K42">
        <v>329710.51951766002</v>
      </c>
      <c r="L42">
        <v>66954.431194399993</v>
      </c>
      <c r="N42">
        <v>8723.0059999999994</v>
      </c>
      <c r="O42">
        <v>616766.22169103206</v>
      </c>
      <c r="P42">
        <v>42183.806520545797</v>
      </c>
      <c r="Q42">
        <v>658950.02821157803</v>
      </c>
      <c r="S42">
        <v>8723.0059999999994</v>
      </c>
      <c r="T42">
        <v>68986.998375240495</v>
      </c>
      <c r="V42">
        <v>8723.0059999999994</v>
      </c>
      <c r="W42">
        <v>117898.115097876</v>
      </c>
    </row>
    <row r="43" spans="7:23" x14ac:dyDescent="0.25">
      <c r="G43">
        <v>8724.0059999999994</v>
      </c>
      <c r="H43">
        <v>123034.522939334</v>
      </c>
      <c r="I43">
        <v>329654.39295066398</v>
      </c>
      <c r="J43">
        <v>452688.91588999802</v>
      </c>
      <c r="K43">
        <v>329769.48489079502</v>
      </c>
      <c r="L43">
        <v>66954.476182444807</v>
      </c>
      <c r="N43">
        <v>8724.0059999999994</v>
      </c>
      <c r="O43">
        <v>616831.588109212</v>
      </c>
      <c r="P43">
        <v>42188.641894975102</v>
      </c>
      <c r="Q43">
        <v>659020.23000418697</v>
      </c>
      <c r="S43">
        <v>8724.0059999999994</v>
      </c>
      <c r="T43">
        <v>68987.028446890195</v>
      </c>
      <c r="V43">
        <v>8724.0059999999994</v>
      </c>
      <c r="W43">
        <v>117910.827408834</v>
      </c>
    </row>
    <row r="44" spans="7:23" x14ac:dyDescent="0.25">
      <c r="G44">
        <v>8725.0059999999994</v>
      </c>
      <c r="H44">
        <v>123038.104357245</v>
      </c>
      <c r="I44">
        <v>329717.46153275401</v>
      </c>
      <c r="J44">
        <v>452755.56588999799</v>
      </c>
      <c r="K44">
        <v>329832.553472884</v>
      </c>
      <c r="L44">
        <v>66954.496445756595</v>
      </c>
      <c r="N44">
        <v>8725.0059999999994</v>
      </c>
      <c r="O44">
        <v>616901.69136094803</v>
      </c>
      <c r="P44">
        <v>42193.477269404299</v>
      </c>
      <c r="Q44">
        <v>659095.16863035201</v>
      </c>
      <c r="S44">
        <v>8725.0059999999994</v>
      </c>
      <c r="T44">
        <v>68987.042652205506</v>
      </c>
      <c r="V44">
        <v>8725.0059999999994</v>
      </c>
      <c r="W44">
        <v>117925.36892949601</v>
      </c>
    </row>
    <row r="45" spans="7:23" x14ac:dyDescent="0.25">
      <c r="G45">
        <v>8726.0059999999994</v>
      </c>
      <c r="H45">
        <v>123040.110103513</v>
      </c>
      <c r="I45">
        <v>329778.84578648501</v>
      </c>
      <c r="J45">
        <v>452818.955889998</v>
      </c>
      <c r="K45">
        <v>329893.93772661599</v>
      </c>
      <c r="L45">
        <v>66954.496445756595</v>
      </c>
      <c r="N45">
        <v>8726.0059999999994</v>
      </c>
      <c r="O45">
        <v>616970.28875556705</v>
      </c>
      <c r="P45">
        <v>42198.312643833502</v>
      </c>
      <c r="Q45">
        <v>659168.60139940097</v>
      </c>
      <c r="S45">
        <v>8726.0059999999994</v>
      </c>
      <c r="T45">
        <v>68987.042652205506</v>
      </c>
      <c r="V45">
        <v>8726.0059999999994</v>
      </c>
      <c r="W45">
        <v>117940.406745493</v>
      </c>
    </row>
    <row r="46" spans="7:23" x14ac:dyDescent="0.25">
      <c r="G46">
        <v>8727.0059999999994</v>
      </c>
      <c r="H46">
        <v>123040.39555127401</v>
      </c>
      <c r="I46">
        <v>329856.05033872399</v>
      </c>
      <c r="J46">
        <v>452896.44588999799</v>
      </c>
      <c r="K46">
        <v>329971.14227885503</v>
      </c>
      <c r="L46">
        <v>66954.496445756595</v>
      </c>
      <c r="N46">
        <v>8727.0059999999994</v>
      </c>
      <c r="O46">
        <v>617055.81673058204</v>
      </c>
      <c r="P46">
        <v>42203.148018262698</v>
      </c>
      <c r="Q46">
        <v>659258.96474884497</v>
      </c>
      <c r="S46">
        <v>8727.0059999999994</v>
      </c>
      <c r="T46">
        <v>68987.042652205506</v>
      </c>
      <c r="V46">
        <v>8727.0059999999994</v>
      </c>
      <c r="W46">
        <v>117962.172643429</v>
      </c>
    </row>
    <row r="47" spans="7:23" x14ac:dyDescent="0.25">
      <c r="G47">
        <v>8728.0059999999994</v>
      </c>
      <c r="H47">
        <v>123040.39745426</v>
      </c>
      <c r="I47">
        <v>329940.75843573897</v>
      </c>
      <c r="J47">
        <v>452981.15588999802</v>
      </c>
      <c r="K47">
        <v>330055.85037586902</v>
      </c>
      <c r="L47">
        <v>66954.496445756595</v>
      </c>
      <c r="N47">
        <v>8728.0059999999994</v>
      </c>
      <c r="O47">
        <v>617155.15493244899</v>
      </c>
      <c r="P47">
        <v>42207.983392691996</v>
      </c>
      <c r="Q47">
        <v>659363.13832514104</v>
      </c>
      <c r="S47">
        <v>8728.0059999999994</v>
      </c>
      <c r="T47">
        <v>68987.042652205506</v>
      </c>
      <c r="V47">
        <v>8728.0059999999994</v>
      </c>
      <c r="W47">
        <v>117987.485436109</v>
      </c>
    </row>
    <row r="48" spans="7:23" x14ac:dyDescent="0.25">
      <c r="G48">
        <v>8729.0059999999994</v>
      </c>
      <c r="H48">
        <v>123040.39745426</v>
      </c>
      <c r="I48">
        <v>330049.54843573901</v>
      </c>
      <c r="J48">
        <v>453089.94588999799</v>
      </c>
      <c r="K48">
        <v>330164.64037586999</v>
      </c>
      <c r="L48">
        <v>66954.496445756595</v>
      </c>
      <c r="N48">
        <v>8729.0059999999994</v>
      </c>
      <c r="O48">
        <v>617289.22685812903</v>
      </c>
      <c r="P48">
        <v>42212.8187671212</v>
      </c>
      <c r="Q48">
        <v>659502.04562525102</v>
      </c>
      <c r="S48">
        <v>8729.0059999999994</v>
      </c>
      <c r="T48">
        <v>68987.042652205506</v>
      </c>
      <c r="V48">
        <v>8729.0059999999994</v>
      </c>
      <c r="W48">
        <v>118021.723494105</v>
      </c>
    </row>
    <row r="49" spans="7:23" x14ac:dyDescent="0.25">
      <c r="G49">
        <v>8730.0059999999994</v>
      </c>
      <c r="H49">
        <v>123040.39745426</v>
      </c>
      <c r="I49">
        <v>330155.36843573902</v>
      </c>
      <c r="J49">
        <v>453195.76588999899</v>
      </c>
      <c r="K49">
        <v>330270.46037586901</v>
      </c>
      <c r="L49">
        <v>66954.496445756595</v>
      </c>
      <c r="N49">
        <v>8730.0059999999994</v>
      </c>
      <c r="O49">
        <v>617416.79667764902</v>
      </c>
      <c r="P49">
        <v>42217.654141550403</v>
      </c>
      <c r="Q49">
        <v>659634.45081920002</v>
      </c>
      <c r="S49">
        <v>8730.0059999999994</v>
      </c>
      <c r="T49">
        <v>68987.042652205506</v>
      </c>
      <c r="V49">
        <v>8730.0059999999994</v>
      </c>
      <c r="W49">
        <v>118053.54275469499</v>
      </c>
    </row>
    <row r="50" spans="7:23" x14ac:dyDescent="0.25">
      <c r="G50">
        <v>8731.0059999999994</v>
      </c>
      <c r="H50">
        <v>123040.39745426</v>
      </c>
      <c r="I50">
        <v>330244.17843573901</v>
      </c>
      <c r="J50">
        <v>453284.575889998</v>
      </c>
      <c r="K50">
        <v>330359.27037586999</v>
      </c>
      <c r="L50">
        <v>66954.496445756595</v>
      </c>
      <c r="N50">
        <v>8731.0059999999994</v>
      </c>
      <c r="O50">
        <v>617522.46903234895</v>
      </c>
      <c r="P50">
        <v>42222.4895159796</v>
      </c>
      <c r="Q50">
        <v>659744.95854832896</v>
      </c>
      <c r="S50">
        <v>8731.0059999999994</v>
      </c>
      <c r="T50">
        <v>68987.042652205506</v>
      </c>
      <c r="V50">
        <v>8731.0059999999994</v>
      </c>
      <c r="W50">
        <v>118078.73233588799</v>
      </c>
    </row>
    <row r="51" spans="7:23" x14ac:dyDescent="0.25">
      <c r="G51">
        <v>8732.0059999999994</v>
      </c>
      <c r="H51">
        <v>123040.39745426</v>
      </c>
      <c r="I51">
        <v>330333.77843573899</v>
      </c>
      <c r="J51">
        <v>453374.17588999902</v>
      </c>
      <c r="K51">
        <v>330448.87037586898</v>
      </c>
      <c r="L51">
        <v>66954.496445756595</v>
      </c>
      <c r="N51">
        <v>8732.0059999999994</v>
      </c>
      <c r="O51">
        <v>617628.88085954904</v>
      </c>
      <c r="P51">
        <v>42227.324890408803</v>
      </c>
      <c r="Q51">
        <v>659856.20574995806</v>
      </c>
      <c r="S51">
        <v>8732.0059999999994</v>
      </c>
      <c r="T51">
        <v>68987.042652205506</v>
      </c>
      <c r="V51">
        <v>8732.0059999999994</v>
      </c>
      <c r="W51">
        <v>118099.582200356</v>
      </c>
    </row>
    <row r="52" spans="7:23" x14ac:dyDescent="0.25">
      <c r="G52">
        <v>8733.0059999999994</v>
      </c>
      <c r="H52">
        <v>123040.39745426</v>
      </c>
      <c r="I52">
        <v>330417.58843573899</v>
      </c>
      <c r="J52">
        <v>453457.98588999797</v>
      </c>
      <c r="K52">
        <v>330532.68037586898</v>
      </c>
      <c r="L52">
        <v>66954.496445756595</v>
      </c>
      <c r="N52">
        <v>8733.0059999999994</v>
      </c>
      <c r="O52">
        <v>617728.72890876897</v>
      </c>
      <c r="P52">
        <v>42232.160264838101</v>
      </c>
      <c r="Q52">
        <v>659960.88917360699</v>
      </c>
      <c r="S52">
        <v>8733.0059999999994</v>
      </c>
      <c r="T52">
        <v>68987.042652205506</v>
      </c>
      <c r="V52">
        <v>8733.0059999999994</v>
      </c>
      <c r="W52">
        <v>118119.298702983</v>
      </c>
    </row>
    <row r="53" spans="7:23" x14ac:dyDescent="0.25">
      <c r="G53">
        <v>8734.0059999999994</v>
      </c>
      <c r="H53">
        <v>123040.39745426</v>
      </c>
      <c r="I53">
        <v>330488.598435739</v>
      </c>
      <c r="J53">
        <v>453528.99588999798</v>
      </c>
      <c r="K53">
        <v>330603.69037586899</v>
      </c>
      <c r="L53">
        <v>66954.496445756595</v>
      </c>
      <c r="N53">
        <v>8734.0059999999994</v>
      </c>
      <c r="O53">
        <v>617807.553417249</v>
      </c>
      <c r="P53">
        <v>42236.995639267298</v>
      </c>
      <c r="Q53">
        <v>660044.54905651696</v>
      </c>
      <c r="S53">
        <v>8734.0059999999994</v>
      </c>
      <c r="T53">
        <v>68987.042652205506</v>
      </c>
      <c r="V53">
        <v>8734.0059999999994</v>
      </c>
      <c r="W53">
        <v>118133.93600756901</v>
      </c>
    </row>
    <row r="54" spans="7:23" x14ac:dyDescent="0.25">
      <c r="G54">
        <v>8735.0059999999994</v>
      </c>
      <c r="H54">
        <v>123040.39745426</v>
      </c>
      <c r="I54">
        <v>330547.24843573902</v>
      </c>
      <c r="J54">
        <v>453587.64588999801</v>
      </c>
      <c r="K54">
        <v>330662.34037586901</v>
      </c>
      <c r="L54">
        <v>66954.496445756595</v>
      </c>
      <c r="N54">
        <v>8735.0059999999994</v>
      </c>
      <c r="O54">
        <v>617870.99512224901</v>
      </c>
      <c r="P54">
        <v>42241.831013696501</v>
      </c>
      <c r="Q54">
        <v>660112.82613594597</v>
      </c>
      <c r="S54">
        <v>8735.0059999999994</v>
      </c>
      <c r="T54">
        <v>68987.042652205506</v>
      </c>
      <c r="V54">
        <v>8735.0059999999994</v>
      </c>
      <c r="W54">
        <v>118146.06588303301</v>
      </c>
    </row>
    <row r="55" spans="7:23" x14ac:dyDescent="0.25">
      <c r="G55">
        <v>8736.0059999999994</v>
      </c>
      <c r="H55">
        <v>123040.39745426</v>
      </c>
      <c r="I55">
        <v>330591.978435739</v>
      </c>
      <c r="J55">
        <v>453632.37588999799</v>
      </c>
      <c r="K55">
        <v>330707.07037586899</v>
      </c>
      <c r="L55">
        <v>66954.496445756595</v>
      </c>
      <c r="N55">
        <v>8736.0059999999994</v>
      </c>
      <c r="O55">
        <v>617921.18146656896</v>
      </c>
      <c r="P55">
        <v>42246.666388125697</v>
      </c>
      <c r="Q55">
        <v>660167.84785469505</v>
      </c>
      <c r="S55">
        <v>8736.0059999999994</v>
      </c>
      <c r="T55">
        <v>68987.042652205506</v>
      </c>
      <c r="V55">
        <v>8736.0059999999994</v>
      </c>
      <c r="W55">
        <v>118154.623198826</v>
      </c>
    </row>
    <row r="56" spans="7:23" x14ac:dyDescent="0.25">
      <c r="G56">
        <v>8737.0059999999994</v>
      </c>
      <c r="H56">
        <v>123040.39745426</v>
      </c>
      <c r="I56">
        <v>330628.51843573898</v>
      </c>
      <c r="J56">
        <v>453668.91588999901</v>
      </c>
      <c r="K56">
        <v>330743.61037586897</v>
      </c>
      <c r="L56">
        <v>66954.496445756595</v>
      </c>
      <c r="N56">
        <v>8737.0059999999994</v>
      </c>
      <c r="O56">
        <v>617960.37967848894</v>
      </c>
      <c r="P56">
        <v>42251.501762554901</v>
      </c>
      <c r="Q56">
        <v>660211.88144104404</v>
      </c>
      <c r="S56">
        <v>8737.0059999999994</v>
      </c>
      <c r="T56">
        <v>68987.042652205506</v>
      </c>
      <c r="V56">
        <v>8737.0059999999994</v>
      </c>
      <c r="W56">
        <v>118161.35946153601</v>
      </c>
    </row>
    <row r="57" spans="7:23" x14ac:dyDescent="0.25">
      <c r="G57">
        <v>8738.0059999999994</v>
      </c>
      <c r="H57">
        <v>123040.39745426</v>
      </c>
      <c r="I57">
        <v>330662.05843573902</v>
      </c>
      <c r="J57">
        <v>453702.455889998</v>
      </c>
      <c r="K57">
        <v>330777.15037586901</v>
      </c>
      <c r="L57">
        <v>66954.496445756595</v>
      </c>
      <c r="N57">
        <v>8738.0059999999994</v>
      </c>
      <c r="O57">
        <v>617995.45889616897</v>
      </c>
      <c r="P57">
        <v>42256.337136984199</v>
      </c>
      <c r="Q57">
        <v>660251.79603315296</v>
      </c>
      <c r="S57">
        <v>8738.0059999999994</v>
      </c>
      <c r="T57">
        <v>68987.042652205506</v>
      </c>
      <c r="V57">
        <v>8738.0059999999994</v>
      </c>
      <c r="W57">
        <v>118167.60034607501</v>
      </c>
    </row>
    <row r="58" spans="7:23" x14ac:dyDescent="0.25">
      <c r="G58">
        <v>8739.0059999999994</v>
      </c>
      <c r="H58">
        <v>123040.39745426</v>
      </c>
      <c r="I58">
        <v>330691.57843573898</v>
      </c>
      <c r="J58">
        <v>453731.97588999802</v>
      </c>
      <c r="K58">
        <v>330806.67037586903</v>
      </c>
      <c r="L58">
        <v>66954.496445756595</v>
      </c>
      <c r="N58">
        <v>8739.0059999999994</v>
      </c>
      <c r="O58">
        <v>618026.33362800896</v>
      </c>
      <c r="P58">
        <v>42261.172511413402</v>
      </c>
      <c r="Q58">
        <v>660287.506139423</v>
      </c>
      <c r="S58">
        <v>8739.0059999999994</v>
      </c>
      <c r="T58">
        <v>68987.042652205506</v>
      </c>
      <c r="V58">
        <v>8739.0059999999994</v>
      </c>
      <c r="W58">
        <v>118173.07167211</v>
      </c>
    </row>
    <row r="59" spans="7:23" x14ac:dyDescent="0.25">
      <c r="G59">
        <v>8740.0059999999994</v>
      </c>
      <c r="H59">
        <v>123040.39745426</v>
      </c>
      <c r="I59">
        <v>330720.538435739</v>
      </c>
      <c r="J59">
        <v>453760.93588999799</v>
      </c>
      <c r="K59">
        <v>330835.63037586998</v>
      </c>
      <c r="L59">
        <v>66954.496445756595</v>
      </c>
      <c r="N59">
        <v>8740.0059999999994</v>
      </c>
      <c r="O59">
        <v>618058.13495152898</v>
      </c>
      <c r="P59">
        <v>42266.007885842599</v>
      </c>
      <c r="Q59">
        <v>660324.14283737203</v>
      </c>
      <c r="S59">
        <v>8740.0059999999994</v>
      </c>
      <c r="T59">
        <v>68987.042652205506</v>
      </c>
      <c r="V59">
        <v>8740.0059999999994</v>
      </c>
      <c r="W59">
        <v>118178.350744209</v>
      </c>
    </row>
    <row r="60" spans="7:23" x14ac:dyDescent="0.25">
      <c r="G60">
        <v>8741.0059999999994</v>
      </c>
      <c r="H60">
        <v>123040.39745426</v>
      </c>
      <c r="I60">
        <v>330751.43843573902</v>
      </c>
      <c r="J60">
        <v>453791.835889999</v>
      </c>
      <c r="K60">
        <v>330866.53037587</v>
      </c>
      <c r="L60">
        <v>66954.496445756595</v>
      </c>
      <c r="N60">
        <v>8741.0059999999994</v>
      </c>
      <c r="O60">
        <v>618092.55069172895</v>
      </c>
      <c r="P60">
        <v>42270.843260271897</v>
      </c>
      <c r="Q60">
        <v>660363.393952001</v>
      </c>
      <c r="S60">
        <v>8741.0059999999994</v>
      </c>
      <c r="T60">
        <v>68987.042652205506</v>
      </c>
      <c r="V60">
        <v>8741.0059999999994</v>
      </c>
      <c r="W60">
        <v>118183.99413879499</v>
      </c>
    </row>
    <row r="61" spans="7:23" x14ac:dyDescent="0.25">
      <c r="G61">
        <v>8742.0059999999994</v>
      </c>
      <c r="H61">
        <v>123040.39745426</v>
      </c>
      <c r="I61">
        <v>330788.348435739</v>
      </c>
      <c r="J61">
        <v>453828.74588999897</v>
      </c>
      <c r="K61">
        <v>330903.44037586899</v>
      </c>
      <c r="L61">
        <v>66954.496445756595</v>
      </c>
      <c r="N61">
        <v>8742.0059999999994</v>
      </c>
      <c r="O61">
        <v>618135.09205042897</v>
      </c>
      <c r="P61">
        <v>42275.6786347011</v>
      </c>
      <c r="Q61">
        <v>660410.77068513003</v>
      </c>
      <c r="S61">
        <v>8742.0059999999994</v>
      </c>
      <c r="T61">
        <v>68987.042652205506</v>
      </c>
      <c r="V61">
        <v>8742.0059999999994</v>
      </c>
      <c r="W61">
        <v>118190.79508139</v>
      </c>
    </row>
    <row r="62" spans="7:23" x14ac:dyDescent="0.25">
      <c r="G62">
        <v>8743.0059999999994</v>
      </c>
      <c r="H62">
        <v>123040.39745426</v>
      </c>
      <c r="I62">
        <v>330833.57843573898</v>
      </c>
      <c r="J62">
        <v>453873.97588999802</v>
      </c>
      <c r="K62">
        <v>330948.67037586903</v>
      </c>
      <c r="L62">
        <v>66954.496445756595</v>
      </c>
      <c r="N62">
        <v>8743.0059999999994</v>
      </c>
      <c r="O62">
        <v>618189.011095269</v>
      </c>
      <c r="P62">
        <v>42280.514009130296</v>
      </c>
      <c r="Q62">
        <v>660469.5251044</v>
      </c>
      <c r="S62">
        <v>8743.0059999999994</v>
      </c>
      <c r="T62">
        <v>68987.042652205506</v>
      </c>
      <c r="V62">
        <v>8743.0059999999994</v>
      </c>
      <c r="W62">
        <v>118199.40987202901</v>
      </c>
    </row>
    <row r="63" spans="7:23" x14ac:dyDescent="0.25">
      <c r="G63">
        <v>8744.0059999999994</v>
      </c>
      <c r="H63">
        <v>123040.39745426</v>
      </c>
      <c r="I63">
        <v>330889.90843573899</v>
      </c>
      <c r="J63">
        <v>453930.30588999798</v>
      </c>
      <c r="K63">
        <v>331005.00037586899</v>
      </c>
      <c r="L63">
        <v>66954.496445756595</v>
      </c>
      <c r="N63">
        <v>8744.0059999999994</v>
      </c>
      <c r="O63">
        <v>618258.221625729</v>
      </c>
      <c r="P63">
        <v>42285.3493835595</v>
      </c>
      <c r="Q63">
        <v>660543.57100928796</v>
      </c>
      <c r="S63">
        <v>8744.0059999999994</v>
      </c>
      <c r="T63">
        <v>68987.042652205506</v>
      </c>
      <c r="V63">
        <v>8744.0059999999994</v>
      </c>
      <c r="W63">
        <v>118211.841869314</v>
      </c>
    </row>
    <row r="64" spans="7:23" x14ac:dyDescent="0.25">
      <c r="G64">
        <v>8745.0059999999994</v>
      </c>
      <c r="H64">
        <v>123040.39745426</v>
      </c>
      <c r="I64">
        <v>330949.21843573899</v>
      </c>
      <c r="J64">
        <v>453989.61588999798</v>
      </c>
      <c r="K64">
        <v>331064.31037586898</v>
      </c>
      <c r="L64">
        <v>66954.496445756595</v>
      </c>
      <c r="N64">
        <v>8745.0059999999994</v>
      </c>
      <c r="O64">
        <v>618331.226304729</v>
      </c>
      <c r="P64">
        <v>42290.184757988703</v>
      </c>
      <c r="Q64">
        <v>660621.41106271802</v>
      </c>
      <c r="S64">
        <v>8745.0059999999994</v>
      </c>
      <c r="T64">
        <v>68987.042652205506</v>
      </c>
      <c r="V64">
        <v>8745.0059999999994</v>
      </c>
      <c r="W64">
        <v>118225.182369847</v>
      </c>
    </row>
    <row r="65" spans="7:23" x14ac:dyDescent="0.25">
      <c r="G65">
        <v>8746.0059999999994</v>
      </c>
      <c r="H65">
        <v>123040.39745426</v>
      </c>
      <c r="I65">
        <v>331008.038435739</v>
      </c>
      <c r="J65">
        <v>454048.43588999799</v>
      </c>
      <c r="K65">
        <v>331123.13037586899</v>
      </c>
      <c r="L65">
        <v>66954.496445756595</v>
      </c>
      <c r="N65">
        <v>8746.0059999999994</v>
      </c>
      <c r="O65">
        <v>618404.15439936903</v>
      </c>
      <c r="P65">
        <v>42295.020132418002</v>
      </c>
      <c r="Q65">
        <v>660699.17453178705</v>
      </c>
      <c r="S65">
        <v>8746.0059999999994</v>
      </c>
      <c r="T65">
        <v>68987.042652205506</v>
      </c>
      <c r="V65">
        <v>8746.0059999999994</v>
      </c>
      <c r="W65">
        <v>118238.159605693</v>
      </c>
    </row>
    <row r="66" spans="7:23" x14ac:dyDescent="0.25">
      <c r="G66">
        <v>8747.0059999999994</v>
      </c>
      <c r="H66">
        <v>123040.39745426</v>
      </c>
      <c r="I66">
        <v>331071.31843573903</v>
      </c>
      <c r="J66">
        <v>454111.71588999801</v>
      </c>
      <c r="K66">
        <v>331186.41037586902</v>
      </c>
      <c r="L66">
        <v>66954.496445756595</v>
      </c>
      <c r="N66">
        <v>8747.0059999999994</v>
      </c>
      <c r="O66">
        <v>618482.09295824904</v>
      </c>
      <c r="P66">
        <v>42299.855506847198</v>
      </c>
      <c r="Q66">
        <v>660781.94846509595</v>
      </c>
      <c r="S66">
        <v>8747.0059999999994</v>
      </c>
      <c r="T66">
        <v>68987.042652205506</v>
      </c>
      <c r="V66">
        <v>8747.0059999999994</v>
      </c>
      <c r="W66">
        <v>118252.16694497599</v>
      </c>
    </row>
    <row r="67" spans="7:23" x14ac:dyDescent="0.25">
      <c r="G67">
        <v>8748.0059999999994</v>
      </c>
      <c r="H67">
        <v>123046.214879633</v>
      </c>
      <c r="I67">
        <v>331133.76101036603</v>
      </c>
      <c r="J67">
        <v>454179.97588999802</v>
      </c>
      <c r="K67">
        <v>331248.85295049602</v>
      </c>
      <c r="L67">
        <v>66954.857752808704</v>
      </c>
      <c r="N67">
        <v>8748.0059999999994</v>
      </c>
      <c r="O67">
        <v>618558.25479094696</v>
      </c>
      <c r="P67">
        <v>42304.690881276401</v>
      </c>
      <c r="Q67">
        <v>660862.94567222404</v>
      </c>
      <c r="S67">
        <v>8748.0059999999994</v>
      </c>
      <c r="T67">
        <v>68987.304832965994</v>
      </c>
      <c r="V67">
        <v>8748.0059999999994</v>
      </c>
      <c r="W67">
        <v>118265.817448435</v>
      </c>
    </row>
    <row r="68" spans="7:23" x14ac:dyDescent="0.25">
      <c r="G68">
        <v>8749.0059999999994</v>
      </c>
      <c r="H68">
        <v>123049.168312469</v>
      </c>
      <c r="I68">
        <v>331198.77757753001</v>
      </c>
      <c r="J68">
        <v>454247.94588999799</v>
      </c>
      <c r="K68">
        <v>331313.86951766099</v>
      </c>
      <c r="L68">
        <v>66954.857752808704</v>
      </c>
      <c r="N68">
        <v>8749.0059999999994</v>
      </c>
      <c r="O68">
        <v>618637.11962685105</v>
      </c>
      <c r="P68">
        <v>42309.526255705598</v>
      </c>
      <c r="Q68">
        <v>660946.64588255703</v>
      </c>
      <c r="S68">
        <v>8749.0059999999994</v>
      </c>
      <c r="T68">
        <v>68987.304832965994</v>
      </c>
      <c r="V68">
        <v>8749.0059999999994</v>
      </c>
      <c r="W68">
        <v>118279.59737577599</v>
      </c>
    </row>
    <row r="69" spans="7:23" x14ac:dyDescent="0.25">
      <c r="G69">
        <v>8750.0059999999994</v>
      </c>
      <c r="H69">
        <v>123053.547081125</v>
      </c>
      <c r="I69">
        <v>331264.84880887298</v>
      </c>
      <c r="J69">
        <v>454318.39588999801</v>
      </c>
      <c r="K69">
        <v>331379.94074900402</v>
      </c>
      <c r="L69">
        <v>66954.904210152294</v>
      </c>
      <c r="N69">
        <v>8750.0059999999994</v>
      </c>
      <c r="O69">
        <v>618717.16518790904</v>
      </c>
      <c r="P69">
        <v>42314.361630134903</v>
      </c>
      <c r="Q69">
        <v>661031.52681804297</v>
      </c>
      <c r="S69">
        <v>8750.0059999999994</v>
      </c>
      <c r="T69">
        <v>68987.340443498702</v>
      </c>
      <c r="V69">
        <v>8750.0059999999994</v>
      </c>
      <c r="W69">
        <v>118293.536469816</v>
      </c>
    </row>
    <row r="70" spans="7:23" x14ac:dyDescent="0.25">
      <c r="G70">
        <v>8751.0059999999994</v>
      </c>
      <c r="H70">
        <v>123057.516707991</v>
      </c>
      <c r="I70">
        <v>331335.52918200701</v>
      </c>
      <c r="J70">
        <v>454393.04588999797</v>
      </c>
      <c r="K70">
        <v>331450.62112213799</v>
      </c>
      <c r="L70">
        <v>66954.960069036402</v>
      </c>
      <c r="N70">
        <v>8751.0059999999994</v>
      </c>
      <c r="O70">
        <v>618803.90202140796</v>
      </c>
      <c r="P70">
        <v>42319.197004564099</v>
      </c>
      <c r="Q70">
        <v>661123.09902597195</v>
      </c>
      <c r="S70">
        <v>8751.0059999999994</v>
      </c>
      <c r="T70">
        <v>68987.381562851704</v>
      </c>
      <c r="V70">
        <v>8751.0059999999994</v>
      </c>
      <c r="W70">
        <v>118307.362150645</v>
      </c>
    </row>
    <row r="71" spans="7:23" x14ac:dyDescent="0.25">
      <c r="G71">
        <v>8752.0059999999994</v>
      </c>
      <c r="H71">
        <v>123061.486334856</v>
      </c>
      <c r="I71">
        <v>331420.52955514198</v>
      </c>
      <c r="J71">
        <v>454482.015889998</v>
      </c>
      <c r="K71">
        <v>331535.62149527302</v>
      </c>
      <c r="L71">
        <v>66954.960069036402</v>
      </c>
      <c r="N71">
        <v>8752.0059999999994</v>
      </c>
      <c r="O71">
        <v>618909.98741710105</v>
      </c>
      <c r="P71">
        <v>42324.032378993303</v>
      </c>
      <c r="Q71">
        <v>661234.01979609404</v>
      </c>
      <c r="S71">
        <v>8752.0059999999994</v>
      </c>
      <c r="T71">
        <v>68987.381562851704</v>
      </c>
      <c r="V71">
        <v>8752.0059999999994</v>
      </c>
      <c r="W71">
        <v>118323.986361187</v>
      </c>
    </row>
    <row r="72" spans="7:23" x14ac:dyDescent="0.25">
      <c r="G72">
        <v>8753.0059999999994</v>
      </c>
      <c r="H72">
        <v>123065.45596172199</v>
      </c>
      <c r="I72">
        <v>331526.129928276</v>
      </c>
      <c r="J72">
        <v>454591.58588999801</v>
      </c>
      <c r="K72">
        <v>331641.22186840698</v>
      </c>
      <c r="L72">
        <v>66954.981656488293</v>
      </c>
      <c r="N72">
        <v>8753.0059999999994</v>
      </c>
      <c r="O72">
        <v>619041.94036335102</v>
      </c>
      <c r="P72">
        <v>42328.867753422499</v>
      </c>
      <c r="Q72">
        <v>661370.80811677396</v>
      </c>
      <c r="S72">
        <v>8753.0059999999994</v>
      </c>
      <c r="T72">
        <v>68987.398277914195</v>
      </c>
      <c r="V72">
        <v>8753.0059999999994</v>
      </c>
      <c r="W72">
        <v>118345.17632228701</v>
      </c>
    </row>
    <row r="73" spans="7:23" x14ac:dyDescent="0.25">
      <c r="G73">
        <v>8754.0059999999994</v>
      </c>
      <c r="H73">
        <v>123069.425588588</v>
      </c>
      <c r="I73">
        <v>331630.39030140999</v>
      </c>
      <c r="J73">
        <v>454699.81588999799</v>
      </c>
      <c r="K73">
        <v>331745.48224154097</v>
      </c>
      <c r="L73">
        <v>66955.001928229496</v>
      </c>
      <c r="N73">
        <v>8754.0059999999994</v>
      </c>
      <c r="O73">
        <v>619169.96334368899</v>
      </c>
      <c r="P73">
        <v>42333.703127851702</v>
      </c>
      <c r="Q73">
        <v>661503.66647154104</v>
      </c>
      <c r="S73">
        <v>8754.0059999999994</v>
      </c>
      <c r="T73">
        <v>68987.414039224095</v>
      </c>
      <c r="V73">
        <v>8754.0059999999994</v>
      </c>
      <c r="W73">
        <v>118365.327874467</v>
      </c>
    </row>
    <row r="74" spans="7:23" x14ac:dyDescent="0.25">
      <c r="G74">
        <v>8755.0059999999994</v>
      </c>
      <c r="H74">
        <v>123073.395215454</v>
      </c>
      <c r="I74">
        <v>331712.04067454499</v>
      </c>
      <c r="J74">
        <v>454785.43588999799</v>
      </c>
      <c r="K74">
        <v>331827.13261467498</v>
      </c>
      <c r="L74">
        <v>66955.007468865995</v>
      </c>
      <c r="N74">
        <v>8755.0059999999994</v>
      </c>
      <c r="O74">
        <v>619267.66487377498</v>
      </c>
      <c r="P74">
        <v>42338.538502281001</v>
      </c>
      <c r="Q74">
        <v>661606.20337605604</v>
      </c>
      <c r="S74">
        <v>8755.0059999999994</v>
      </c>
      <c r="T74">
        <v>68987.418079927505</v>
      </c>
      <c r="V74">
        <v>8755.0059999999994</v>
      </c>
      <c r="W74">
        <v>118379.41859426801</v>
      </c>
    </row>
    <row r="75" spans="7:23" x14ac:dyDescent="0.25">
      <c r="G75">
        <v>8756.0059999999994</v>
      </c>
      <c r="H75">
        <v>123077.364842319</v>
      </c>
      <c r="I75">
        <v>331799.40104767901</v>
      </c>
      <c r="J75">
        <v>454876.765889998</v>
      </c>
      <c r="K75">
        <v>331914.52298532898</v>
      </c>
      <c r="L75">
        <v>66955.0074713473</v>
      </c>
      <c r="N75">
        <v>8756.0059999999994</v>
      </c>
      <c r="O75">
        <v>619369.82264404197</v>
      </c>
      <c r="P75">
        <v>42343.373876710197</v>
      </c>
      <c r="Q75">
        <v>661713.19652075204</v>
      </c>
      <c r="S75">
        <v>8756.0059999999994</v>
      </c>
      <c r="T75">
        <v>68987.418079927505</v>
      </c>
      <c r="V75">
        <v>8756.0059999999994</v>
      </c>
      <c r="W75">
        <v>118394.068489378</v>
      </c>
    </row>
    <row r="76" spans="7:23" x14ac:dyDescent="0.25">
      <c r="G76">
        <v>8757.0059999999994</v>
      </c>
      <c r="H76">
        <v>123079.977640827</v>
      </c>
      <c r="I76">
        <v>331871.72824917198</v>
      </c>
      <c r="J76">
        <v>454951.705889998</v>
      </c>
      <c r="K76">
        <v>331986.85018682102</v>
      </c>
      <c r="L76">
        <v>66955.0074713473</v>
      </c>
      <c r="N76">
        <v>8757.0059999999994</v>
      </c>
      <c r="O76">
        <v>619453.07689448202</v>
      </c>
      <c r="P76">
        <v>42348.2092511394</v>
      </c>
      <c r="Q76">
        <v>661801.28614562098</v>
      </c>
      <c r="S76">
        <v>8757.0059999999994</v>
      </c>
      <c r="T76">
        <v>68987.418079927505</v>
      </c>
      <c r="V76">
        <v>8757.0059999999994</v>
      </c>
      <c r="W76">
        <v>118405.857818914</v>
      </c>
    </row>
    <row r="77" spans="7:23" x14ac:dyDescent="0.25">
      <c r="G77">
        <v>8758.0059999999994</v>
      </c>
      <c r="H77">
        <v>123079.977640827</v>
      </c>
      <c r="I77">
        <v>331940.22824917198</v>
      </c>
      <c r="J77">
        <v>455020.205889998</v>
      </c>
      <c r="K77">
        <v>332055.35018682102</v>
      </c>
      <c r="L77">
        <v>66955.0074713473</v>
      </c>
      <c r="N77">
        <v>8758.0059999999994</v>
      </c>
      <c r="O77">
        <v>619529.728394481</v>
      </c>
      <c r="P77">
        <v>42353.044625568597</v>
      </c>
      <c r="Q77">
        <v>661882.77302005002</v>
      </c>
      <c r="S77">
        <v>8758.0059999999994</v>
      </c>
      <c r="T77">
        <v>68987.418079927505</v>
      </c>
      <c r="V77">
        <v>8758.0059999999994</v>
      </c>
      <c r="W77">
        <v>118416.987500553</v>
      </c>
    </row>
    <row r="78" spans="7:23" x14ac:dyDescent="0.25">
      <c r="G78">
        <v>8759.0059999999994</v>
      </c>
      <c r="H78">
        <v>123079.977640827</v>
      </c>
      <c r="I78">
        <v>332000.00824917201</v>
      </c>
      <c r="J78">
        <v>455079.98588999797</v>
      </c>
      <c r="K78">
        <v>332115.16018682101</v>
      </c>
      <c r="L78">
        <v>66955.0074713473</v>
      </c>
      <c r="N78">
        <v>8759.0059999999994</v>
      </c>
      <c r="O78">
        <v>619590.90002894204</v>
      </c>
      <c r="P78">
        <v>42357.879999997902</v>
      </c>
      <c r="Q78">
        <v>661948.78002893995</v>
      </c>
      <c r="S78">
        <v>8759.0059999999994</v>
      </c>
      <c r="T78">
        <v>68987.418079927505</v>
      </c>
      <c r="V78">
        <v>8759.0059999999994</v>
      </c>
      <c r="W78">
        <v>118426.623503611</v>
      </c>
    </row>
    <row r="79" spans="7:23" x14ac:dyDescent="0.25">
      <c r="G79">
        <v>8760.0059999999994</v>
      </c>
      <c r="H79">
        <v>123079.977640827</v>
      </c>
      <c r="I79">
        <v>332047.52824917203</v>
      </c>
      <c r="J79">
        <v>455127.50588999799</v>
      </c>
      <c r="K79">
        <v>332162.68018682097</v>
      </c>
      <c r="L79">
        <v>66955.0074713473</v>
      </c>
      <c r="N79">
        <v>8760.0059999999994</v>
      </c>
      <c r="O79">
        <v>619638.68652110198</v>
      </c>
      <c r="P79">
        <v>42362.715374427098</v>
      </c>
      <c r="Q79">
        <v>662001.40189552901</v>
      </c>
      <c r="S79">
        <v>8760.0059999999994</v>
      </c>
      <c r="T79">
        <v>68987.418079927505</v>
      </c>
      <c r="V79">
        <v>8760.0059999999994</v>
      </c>
      <c r="W79">
        <v>118435.091830231</v>
      </c>
    </row>
    <row r="80" spans="7:23" x14ac:dyDescent="0.25">
      <c r="G80">
        <v>8761.0059999999994</v>
      </c>
      <c r="H80">
        <v>123079.977640827</v>
      </c>
      <c r="I80">
        <v>332086.628249172</v>
      </c>
      <c r="J80">
        <v>455166.60588999803</v>
      </c>
      <c r="K80">
        <v>332201.78018682101</v>
      </c>
      <c r="L80">
        <v>66955.0074713473</v>
      </c>
      <c r="N80">
        <v>8761.0059999999994</v>
      </c>
      <c r="O80">
        <v>619675.32228270196</v>
      </c>
      <c r="P80">
        <v>42367.550748856302</v>
      </c>
      <c r="Q80">
        <v>662042.873031558</v>
      </c>
      <c r="S80">
        <v>8761.0059999999994</v>
      </c>
      <c r="T80">
        <v>68987.418079927505</v>
      </c>
      <c r="V80">
        <v>8761.0059999999994</v>
      </c>
      <c r="W80">
        <v>118442.392749119</v>
      </c>
    </row>
    <row r="81" spans="7:23" x14ac:dyDescent="0.25">
      <c r="G81">
        <v>8762.0059999999994</v>
      </c>
      <c r="H81">
        <v>123079.977640827</v>
      </c>
      <c r="I81">
        <v>332121.08824917203</v>
      </c>
      <c r="J81">
        <v>455201.06588999799</v>
      </c>
      <c r="K81">
        <v>332236.24018682103</v>
      </c>
      <c r="L81">
        <v>66955.0074713473</v>
      </c>
      <c r="N81">
        <v>8762.0059999999994</v>
      </c>
      <c r="O81">
        <v>619702.21197206096</v>
      </c>
      <c r="P81">
        <v>42372.386123285498</v>
      </c>
      <c r="Q81">
        <v>662074.59809534706</v>
      </c>
      <c r="S81">
        <v>8762.0059999999994</v>
      </c>
      <c r="T81">
        <v>68987.418079927505</v>
      </c>
      <c r="V81">
        <v>8762.0059999999994</v>
      </c>
      <c r="W81">
        <v>118448.034108369</v>
      </c>
    </row>
    <row r="82" spans="7:23" x14ac:dyDescent="0.25">
      <c r="G82">
        <v>8763.0059999999994</v>
      </c>
      <c r="H82">
        <v>123079.977640827</v>
      </c>
      <c r="I82">
        <v>332152.54824917199</v>
      </c>
      <c r="J82">
        <v>455232.52588999801</v>
      </c>
      <c r="K82">
        <v>332267.75018682098</v>
      </c>
      <c r="L82">
        <v>66955.0074713473</v>
      </c>
      <c r="N82">
        <v>8763.0059999999994</v>
      </c>
      <c r="O82">
        <v>619712.01416588202</v>
      </c>
      <c r="P82">
        <v>42377.221497714803</v>
      </c>
      <c r="Q82">
        <v>662089.23566359596</v>
      </c>
      <c r="S82">
        <v>8763.0059999999994</v>
      </c>
      <c r="T82">
        <v>68987.418079927505</v>
      </c>
      <c r="V82">
        <v>8763.0059999999994</v>
      </c>
      <c r="W82">
        <v>118452.654383844</v>
      </c>
    </row>
    <row r="83" spans="7:23" x14ac:dyDescent="0.25">
      <c r="G83">
        <v>8764.0059999999994</v>
      </c>
      <c r="H83">
        <v>123079.977640827</v>
      </c>
      <c r="I83">
        <v>332181.65824917197</v>
      </c>
      <c r="J83">
        <v>455261.635889998</v>
      </c>
      <c r="K83">
        <v>332296.900186821</v>
      </c>
      <c r="L83">
        <v>66955.0074713473</v>
      </c>
      <c r="N83">
        <v>8764.0059999999994</v>
      </c>
      <c r="O83">
        <v>619715.58049348195</v>
      </c>
      <c r="P83">
        <v>42382.056872143999</v>
      </c>
      <c r="Q83">
        <v>662097.63736562501</v>
      </c>
      <c r="S83">
        <v>8764.0059999999994</v>
      </c>
      <c r="T83">
        <v>68987.418079927505</v>
      </c>
      <c r="V83">
        <v>8764.0059999999994</v>
      </c>
      <c r="W83">
        <v>118457.631558605</v>
      </c>
    </row>
    <row r="84" spans="7:23" x14ac:dyDescent="0.25">
      <c r="G84">
        <v>8765.0059999999994</v>
      </c>
      <c r="H84">
        <v>123079.977640827</v>
      </c>
      <c r="I84">
        <v>332210.88824917201</v>
      </c>
      <c r="J84">
        <v>455290.86588999798</v>
      </c>
      <c r="K84">
        <v>332326.13018682098</v>
      </c>
      <c r="L84">
        <v>66955.0074713473</v>
      </c>
      <c r="N84">
        <v>8765.0059999999994</v>
      </c>
      <c r="O84">
        <v>619723.60494692205</v>
      </c>
      <c r="P84">
        <v>42386.892246573203</v>
      </c>
      <c r="Q84">
        <v>662110.49719349504</v>
      </c>
      <c r="S84">
        <v>8765.0059999999994</v>
      </c>
      <c r="T84">
        <v>68987.418079927505</v>
      </c>
      <c r="V84">
        <v>8765.0059999999994</v>
      </c>
      <c r="W84">
        <v>118462.88425872099</v>
      </c>
    </row>
    <row r="85" spans="7:23" x14ac:dyDescent="0.25">
      <c r="G85">
        <v>8766.0059999999994</v>
      </c>
      <c r="H85">
        <v>123079.977640827</v>
      </c>
      <c r="I85">
        <v>332245.70824917202</v>
      </c>
      <c r="J85">
        <v>455325.68588999799</v>
      </c>
      <c r="K85">
        <v>332360.95018682099</v>
      </c>
      <c r="L85">
        <v>66955.0074713473</v>
      </c>
      <c r="N85">
        <v>8766.0059999999994</v>
      </c>
      <c r="O85">
        <v>619740.95672788098</v>
      </c>
      <c r="P85">
        <v>42391.727621002399</v>
      </c>
      <c r="Q85">
        <v>662132.68434888404</v>
      </c>
      <c r="S85">
        <v>8766.0059999999994</v>
      </c>
      <c r="T85">
        <v>68987.418079927505</v>
      </c>
      <c r="V85">
        <v>8766.0059999999994</v>
      </c>
      <c r="W85">
        <v>118470.291831953</v>
      </c>
    </row>
    <row r="86" spans="7:23" x14ac:dyDescent="0.25">
      <c r="G86">
        <v>8767.0059999999994</v>
      </c>
      <c r="H86">
        <v>123079.977640827</v>
      </c>
      <c r="I86">
        <v>332288.95824917202</v>
      </c>
      <c r="J86">
        <v>455368.93588999799</v>
      </c>
      <c r="K86">
        <v>332404.20018682099</v>
      </c>
      <c r="L86">
        <v>66955.0074713473</v>
      </c>
      <c r="N86">
        <v>8767.0059999999994</v>
      </c>
      <c r="O86">
        <v>619782.57793288201</v>
      </c>
      <c r="P86">
        <v>42396.562995431697</v>
      </c>
      <c r="Q86">
        <v>662179.14092831395</v>
      </c>
      <c r="S86">
        <v>8767.0059999999994</v>
      </c>
      <c r="T86">
        <v>68987.418079927505</v>
      </c>
      <c r="V86">
        <v>8767.0059999999994</v>
      </c>
      <c r="W86">
        <v>118479.496300196</v>
      </c>
    </row>
    <row r="87" spans="7:23" x14ac:dyDescent="0.25">
      <c r="G87">
        <v>8768.0059999999994</v>
      </c>
      <c r="H87">
        <v>123079.977640827</v>
      </c>
      <c r="I87">
        <v>332342.39824917202</v>
      </c>
      <c r="J87">
        <v>455422.37588999799</v>
      </c>
      <c r="K87">
        <v>332457.72018682101</v>
      </c>
      <c r="L87">
        <v>66955.0074713473</v>
      </c>
      <c r="N87">
        <v>8768.0059999999994</v>
      </c>
      <c r="O87">
        <v>619842.706368402</v>
      </c>
      <c r="P87">
        <v>42401.398369860901</v>
      </c>
      <c r="Q87">
        <v>662244.10473826295</v>
      </c>
      <c r="S87">
        <v>8768.0059999999994</v>
      </c>
      <c r="T87">
        <v>68987.418079927505</v>
      </c>
      <c r="V87">
        <v>8768.0059999999994</v>
      </c>
      <c r="W87">
        <v>118490.94343648299</v>
      </c>
    </row>
    <row r="88" spans="7:23" x14ac:dyDescent="0.25">
      <c r="G88">
        <v>8769.0059999999994</v>
      </c>
      <c r="H88">
        <v>123079.977640827</v>
      </c>
      <c r="I88">
        <v>332402.46824917197</v>
      </c>
      <c r="J88">
        <v>455482.44588999799</v>
      </c>
      <c r="K88">
        <v>332517.81018682098</v>
      </c>
      <c r="L88">
        <v>66955.0074713473</v>
      </c>
      <c r="N88">
        <v>8769.0059999999994</v>
      </c>
      <c r="O88">
        <v>619912.09878112096</v>
      </c>
      <c r="P88">
        <v>42406.233744290097</v>
      </c>
      <c r="Q88">
        <v>662318.33252541104</v>
      </c>
      <c r="S88">
        <v>8769.0059999999994</v>
      </c>
      <c r="T88">
        <v>68987.418079927505</v>
      </c>
      <c r="V88">
        <v>8769.0059999999994</v>
      </c>
      <c r="W88">
        <v>118504.502975353</v>
      </c>
    </row>
    <row r="89" spans="7:23" x14ac:dyDescent="0.25">
      <c r="G89">
        <v>8770.0059999999994</v>
      </c>
      <c r="H89">
        <v>123084.80170799101</v>
      </c>
      <c r="I89">
        <v>332479.02418200701</v>
      </c>
      <c r="J89">
        <v>455563.825889998</v>
      </c>
      <c r="K89">
        <v>332594.366119657</v>
      </c>
      <c r="L89">
        <v>66955.232908304606</v>
      </c>
      <c r="N89">
        <v>8770.0059999999994</v>
      </c>
      <c r="O89">
        <v>620002.67639239202</v>
      </c>
      <c r="P89">
        <v>42411.069118719301</v>
      </c>
      <c r="Q89">
        <v>662413.74551111099</v>
      </c>
      <c r="S89">
        <v>8770.0059999999994</v>
      </c>
      <c r="T89">
        <v>68987.582264896293</v>
      </c>
      <c r="V89">
        <v>8770.0059999999994</v>
      </c>
      <c r="W89">
        <v>118522.22106231601</v>
      </c>
    </row>
    <row r="90" spans="7:23" x14ac:dyDescent="0.25">
      <c r="G90">
        <v>8771.0059999999994</v>
      </c>
      <c r="H90">
        <v>123091.02066321499</v>
      </c>
      <c r="I90">
        <v>332561.89522678399</v>
      </c>
      <c r="J90">
        <v>455652.91588999802</v>
      </c>
      <c r="K90">
        <v>332677.237164433</v>
      </c>
      <c r="L90">
        <v>66955.664456275103</v>
      </c>
      <c r="N90">
        <v>8771.0059999999994</v>
      </c>
      <c r="O90">
        <v>620101.96220223396</v>
      </c>
      <c r="P90">
        <v>42415.904493148497</v>
      </c>
      <c r="Q90">
        <v>662517.86669538205</v>
      </c>
      <c r="S90">
        <v>8771.0059999999994</v>
      </c>
      <c r="T90">
        <v>68987.902884339303</v>
      </c>
      <c r="V90">
        <v>8771.0059999999994</v>
      </c>
      <c r="W90">
        <v>118542.77502674601</v>
      </c>
    </row>
    <row r="91" spans="7:23" x14ac:dyDescent="0.25">
      <c r="G91">
        <v>8772.0059999999994</v>
      </c>
      <c r="H91">
        <v>123097.52126023</v>
      </c>
      <c r="I91">
        <v>332650.90462976898</v>
      </c>
      <c r="J91">
        <v>455748.42588999798</v>
      </c>
      <c r="K91">
        <v>332766.24656741798</v>
      </c>
      <c r="L91">
        <v>66955.872601432595</v>
      </c>
      <c r="N91">
        <v>8772.0059999999994</v>
      </c>
      <c r="O91">
        <v>620208.867835782</v>
      </c>
      <c r="P91">
        <v>42420.739867577802</v>
      </c>
      <c r="Q91">
        <v>662629.60770336003</v>
      </c>
      <c r="S91">
        <v>8772.0059999999994</v>
      </c>
      <c r="T91">
        <v>68988.061890342302</v>
      </c>
      <c r="V91">
        <v>8772.0059999999994</v>
      </c>
      <c r="W91">
        <v>118566.395977685</v>
      </c>
    </row>
    <row r="92" spans="7:23" x14ac:dyDescent="0.25">
      <c r="G92">
        <v>8773.0059999999994</v>
      </c>
      <c r="H92">
        <v>123101.66405873701</v>
      </c>
      <c r="I92">
        <v>332749.56183126097</v>
      </c>
      <c r="J92">
        <v>455851.22588999802</v>
      </c>
      <c r="K92">
        <v>332864.90376890998</v>
      </c>
      <c r="L92">
        <v>66955.896752345303</v>
      </c>
      <c r="N92">
        <v>8773.0059999999994</v>
      </c>
      <c r="O92">
        <v>620327.72904556897</v>
      </c>
      <c r="P92">
        <v>42425.575242006998</v>
      </c>
      <c r="Q92">
        <v>662753.304287576</v>
      </c>
      <c r="S92">
        <v>8773.0059999999994</v>
      </c>
      <c r="T92">
        <v>68988.081074824804</v>
      </c>
      <c r="V92">
        <v>8773.0059999999994</v>
      </c>
      <c r="W92">
        <v>118593.47003175601</v>
      </c>
    </row>
    <row r="93" spans="7:23" x14ac:dyDescent="0.25">
      <c r="G93">
        <v>8774.0059999999994</v>
      </c>
      <c r="H93">
        <v>123102.99614828901</v>
      </c>
      <c r="I93">
        <v>332843.16974170902</v>
      </c>
      <c r="J93">
        <v>455946.16588999802</v>
      </c>
      <c r="K93">
        <v>332958.51167935802</v>
      </c>
      <c r="L93">
        <v>66955.896752345303</v>
      </c>
      <c r="N93">
        <v>8774.0059999999994</v>
      </c>
      <c r="O93">
        <v>620442.04321302404</v>
      </c>
      <c r="P93">
        <v>42430.410616436202</v>
      </c>
      <c r="Q93">
        <v>662872.45382945996</v>
      </c>
      <c r="S93">
        <v>8774.0059999999994</v>
      </c>
      <c r="T93">
        <v>68988.081074824804</v>
      </c>
      <c r="V93">
        <v>8774.0059999999994</v>
      </c>
      <c r="W93">
        <v>118621.411164427</v>
      </c>
    </row>
    <row r="94" spans="7:23" x14ac:dyDescent="0.25">
      <c r="G94">
        <v>8775.0059999999994</v>
      </c>
      <c r="H94">
        <v>123103.169319931</v>
      </c>
      <c r="I94">
        <v>332935.76657006697</v>
      </c>
      <c r="J94">
        <v>456038.93588999799</v>
      </c>
      <c r="K94">
        <v>333051.10850771703</v>
      </c>
      <c r="L94">
        <v>66955.896752345303</v>
      </c>
      <c r="N94">
        <v>8775.0059999999994</v>
      </c>
      <c r="O94">
        <v>620558.50742947205</v>
      </c>
      <c r="P94">
        <v>42435.2459908655</v>
      </c>
      <c r="Q94">
        <v>662993.75342033699</v>
      </c>
      <c r="S94">
        <v>8775.0059999999994</v>
      </c>
      <c r="T94">
        <v>68988.081074824804</v>
      </c>
      <c r="V94">
        <v>8775.0059999999994</v>
      </c>
      <c r="W94">
        <v>118650.74669196999</v>
      </c>
    </row>
    <row r="95" spans="7:23" x14ac:dyDescent="0.25">
      <c r="G95">
        <v>8776.0059999999994</v>
      </c>
      <c r="H95">
        <v>123103.18834978199</v>
      </c>
      <c r="I95">
        <v>333035.68754021602</v>
      </c>
      <c r="J95">
        <v>456138.87588999799</v>
      </c>
      <c r="K95">
        <v>333151.02947786602</v>
      </c>
      <c r="L95">
        <v>66955.896752345303</v>
      </c>
      <c r="N95">
        <v>8776.0059999999994</v>
      </c>
      <c r="O95">
        <v>620690.22145374503</v>
      </c>
      <c r="P95">
        <v>42440.081365294602</v>
      </c>
      <c r="Q95">
        <v>663130.30281904002</v>
      </c>
      <c r="S95">
        <v>8776.0059999999994</v>
      </c>
      <c r="T95">
        <v>68988.081074824804</v>
      </c>
      <c r="V95">
        <v>8776.0059999999994</v>
      </c>
      <c r="W95">
        <v>118684.153970588</v>
      </c>
    </row>
    <row r="96" spans="7:23" x14ac:dyDescent="0.25">
      <c r="G96">
        <v>8777.0059999999994</v>
      </c>
      <c r="H96">
        <v>123103.18834978199</v>
      </c>
      <c r="I96">
        <v>333146.82754021598</v>
      </c>
      <c r="J96">
        <v>456250.015889998</v>
      </c>
      <c r="K96">
        <v>333262.16947786597</v>
      </c>
      <c r="L96">
        <v>66955.896752345303</v>
      </c>
      <c r="N96">
        <v>8777.0059999999994</v>
      </c>
      <c r="O96">
        <v>620838.63114134502</v>
      </c>
      <c r="P96">
        <v>42444.9167397239</v>
      </c>
      <c r="Q96">
        <v>663283.54788106901</v>
      </c>
      <c r="S96">
        <v>8777.0059999999994</v>
      </c>
      <c r="T96">
        <v>68988.081074824804</v>
      </c>
      <c r="V96">
        <v>8777.0059999999994</v>
      </c>
      <c r="W96">
        <v>118724.016181479</v>
      </c>
    </row>
    <row r="97" spans="7:23" x14ac:dyDescent="0.25">
      <c r="G97">
        <v>8778.0059999999994</v>
      </c>
      <c r="H97">
        <v>123103.18834978199</v>
      </c>
      <c r="I97">
        <v>333254.49754021602</v>
      </c>
      <c r="J97">
        <v>456357.68588999799</v>
      </c>
      <c r="K97">
        <v>333369.83947786601</v>
      </c>
      <c r="L97">
        <v>66955.896752345303</v>
      </c>
      <c r="N97">
        <v>8778.0059999999994</v>
      </c>
      <c r="O97">
        <v>620979.99754454498</v>
      </c>
      <c r="P97">
        <v>42449.752114153103</v>
      </c>
      <c r="Q97">
        <v>663429.74965869798</v>
      </c>
      <c r="S97">
        <v>8778.0059999999994</v>
      </c>
      <c r="T97">
        <v>68988.081074824804</v>
      </c>
      <c r="V97">
        <v>8778.0059999999994</v>
      </c>
      <c r="W97">
        <v>118764.609306047</v>
      </c>
    </row>
    <row r="98" spans="7:23" x14ac:dyDescent="0.25">
      <c r="G98">
        <v>8779.0059999999994</v>
      </c>
      <c r="H98">
        <v>123103.190252767</v>
      </c>
      <c r="I98">
        <v>333347.885637231</v>
      </c>
      <c r="J98">
        <v>456451.075889998</v>
      </c>
      <c r="K98">
        <v>333463.22757488099</v>
      </c>
      <c r="L98">
        <v>66955.896752345303</v>
      </c>
      <c r="N98">
        <v>8779.0059999999994</v>
      </c>
      <c r="O98">
        <v>621097.31764885294</v>
      </c>
      <c r="P98">
        <v>42454.5874885823</v>
      </c>
      <c r="Q98">
        <v>663551.90513743495</v>
      </c>
      <c r="S98">
        <v>8779.0059999999994</v>
      </c>
      <c r="T98">
        <v>68988.081074824804</v>
      </c>
      <c r="V98">
        <v>8779.0059999999994</v>
      </c>
      <c r="W98">
        <v>118800.15815342699</v>
      </c>
    </row>
    <row r="99" spans="7:23" x14ac:dyDescent="0.25">
      <c r="G99">
        <v>8780.0059999999994</v>
      </c>
      <c r="H99">
        <v>123103.190252767</v>
      </c>
      <c r="I99">
        <v>333431.575637231</v>
      </c>
      <c r="J99">
        <v>456534.765889998</v>
      </c>
      <c r="K99">
        <v>333546.91757488099</v>
      </c>
      <c r="L99">
        <v>66955.896752345303</v>
      </c>
      <c r="N99">
        <v>8780.0059999999994</v>
      </c>
      <c r="O99">
        <v>621199.207880534</v>
      </c>
      <c r="P99">
        <v>42459.422863011598</v>
      </c>
      <c r="Q99">
        <v>663658.63074354501</v>
      </c>
      <c r="S99">
        <v>8780.0059999999994</v>
      </c>
      <c r="T99">
        <v>68988.081074824804</v>
      </c>
      <c r="V99">
        <v>8780.0059999999994</v>
      </c>
      <c r="W99">
        <v>118831.602579685</v>
      </c>
    </row>
    <row r="100" spans="7:23" x14ac:dyDescent="0.25">
      <c r="G100">
        <v>8781.0059999999994</v>
      </c>
      <c r="H100">
        <v>123103.190252767</v>
      </c>
      <c r="I100">
        <v>333510.885637231</v>
      </c>
      <c r="J100">
        <v>456614.075889998</v>
      </c>
      <c r="K100">
        <v>333626.22757488099</v>
      </c>
      <c r="L100">
        <v>66955.896752345303</v>
      </c>
      <c r="N100">
        <v>8781.0059999999994</v>
      </c>
      <c r="O100">
        <v>621295.58808907401</v>
      </c>
      <c r="P100">
        <v>42464.258237440801</v>
      </c>
      <c r="Q100">
        <v>663759.84632651403</v>
      </c>
      <c r="S100">
        <v>8781.0059999999994</v>
      </c>
      <c r="T100">
        <v>68988.081074824804</v>
      </c>
      <c r="V100">
        <v>8781.0059999999994</v>
      </c>
      <c r="W100">
        <v>118865.95002248501</v>
      </c>
    </row>
    <row r="101" spans="7:23" x14ac:dyDescent="0.25">
      <c r="G101">
        <v>8782.0059999999994</v>
      </c>
      <c r="H101">
        <v>123103.190252767</v>
      </c>
      <c r="I101">
        <v>333578.825637231</v>
      </c>
      <c r="J101">
        <v>456682.015889998</v>
      </c>
      <c r="K101">
        <v>333694.16757488099</v>
      </c>
      <c r="L101">
        <v>66955.896752345303</v>
      </c>
      <c r="N101">
        <v>8782.0059999999994</v>
      </c>
      <c r="O101">
        <v>621377.64425463299</v>
      </c>
      <c r="P101">
        <v>42469.093611869997</v>
      </c>
      <c r="Q101">
        <v>663846.73786650295</v>
      </c>
      <c r="S101">
        <v>8782.0059999999994</v>
      </c>
      <c r="T101">
        <v>68988.081074824804</v>
      </c>
      <c r="V101">
        <v>8782.0059999999994</v>
      </c>
      <c r="W101">
        <v>118895.80659863399</v>
      </c>
    </row>
    <row r="102" spans="7:23" x14ac:dyDescent="0.25">
      <c r="G102">
        <v>8783.0059999999994</v>
      </c>
      <c r="H102">
        <v>123103.190252767</v>
      </c>
      <c r="I102">
        <v>333641.99563723098</v>
      </c>
      <c r="J102">
        <v>456745.18588999799</v>
      </c>
      <c r="K102">
        <v>333757.33757488098</v>
      </c>
      <c r="L102">
        <v>66955.896752345303</v>
      </c>
      <c r="N102">
        <v>8783.0059999999994</v>
      </c>
      <c r="O102">
        <v>621452.61984325398</v>
      </c>
      <c r="P102">
        <v>42473.928986299201</v>
      </c>
      <c r="Q102">
        <v>663926.54882955295</v>
      </c>
      <c r="S102">
        <v>8783.0059999999994</v>
      </c>
      <c r="T102">
        <v>68988.081074824804</v>
      </c>
      <c r="V102">
        <v>8783.0059999999994</v>
      </c>
      <c r="W102">
        <v>118920.27978782399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7109-B827-46E7-9EB1-5D1FDDA29B56}">
  <dimension ref="G2:W102"/>
  <sheetViews>
    <sheetView topLeftCell="P90" workbookViewId="0">
      <selection activeCell="G102" sqref="G102:W102"/>
    </sheetView>
  </sheetViews>
  <sheetFormatPr defaultRowHeight="15" x14ac:dyDescent="0.25"/>
  <cols>
    <col min="8" max="8" width="28.85546875" bestFit="1" customWidth="1"/>
    <col min="9" max="9" width="32.85546875" bestFit="1" customWidth="1"/>
    <col min="10" max="10" width="34.85546875" bestFit="1" customWidth="1"/>
    <col min="11" max="11" width="31.42578125" bestFit="1" customWidth="1"/>
    <col min="12" max="12" width="34.85546875" bestFit="1" customWidth="1"/>
    <col min="15" max="15" width="24.5703125" bestFit="1" customWidth="1"/>
    <col min="16" max="16" width="21.42578125" bestFit="1" customWidth="1"/>
    <col min="17" max="17" width="23.85546875" bestFit="1" customWidth="1"/>
  </cols>
  <sheetData>
    <row r="2" spans="7:23" x14ac:dyDescent="0.25">
      <c r="H2" t="s">
        <v>46</v>
      </c>
      <c r="I2" t="s">
        <v>47</v>
      </c>
      <c r="J2" t="s">
        <v>48</v>
      </c>
      <c r="K2" t="s">
        <v>49</v>
      </c>
      <c r="L2" t="s">
        <v>50</v>
      </c>
      <c r="O2" t="s">
        <v>51</v>
      </c>
      <c r="P2" t="s">
        <v>40</v>
      </c>
      <c r="Q2" t="s">
        <v>41</v>
      </c>
      <c r="T2" t="s">
        <v>52</v>
      </c>
      <c r="W2" t="s">
        <v>42</v>
      </c>
    </row>
    <row r="3" spans="7:23" x14ac:dyDescent="0.25">
      <c r="G3">
        <v>8660.0059999999994</v>
      </c>
      <c r="H3">
        <v>98341.484679825706</v>
      </c>
      <c r="I3">
        <v>350487.931210173</v>
      </c>
      <c r="J3">
        <v>448829.41588999802</v>
      </c>
      <c r="K3">
        <v>350605.93973686901</v>
      </c>
      <c r="L3">
        <v>55391.724673250901</v>
      </c>
      <c r="N3">
        <v>8660.0059999999994</v>
      </c>
      <c r="O3">
        <v>641725.0613378</v>
      </c>
      <c r="P3">
        <v>41879.177931504797</v>
      </c>
      <c r="Q3">
        <v>683604.23926930397</v>
      </c>
      <c r="S3">
        <v>8660.0059999999994</v>
      </c>
      <c r="T3">
        <v>54668.8674352616</v>
      </c>
      <c r="V3">
        <v>8660.0059999999994</v>
      </c>
      <c r="W3">
        <v>124713.897800607</v>
      </c>
    </row>
    <row r="4" spans="7:23" x14ac:dyDescent="0.25">
      <c r="G4">
        <v>8661.0059999999994</v>
      </c>
      <c r="H4">
        <v>98341.484679825706</v>
      </c>
      <c r="I4">
        <v>350568.00121017301</v>
      </c>
      <c r="J4">
        <v>448909.48588999797</v>
      </c>
      <c r="K4">
        <v>350686.00973686902</v>
      </c>
      <c r="L4">
        <v>55391.724673250901</v>
      </c>
      <c r="N4">
        <v>8661.0059999999994</v>
      </c>
      <c r="O4">
        <v>641801.04033780005</v>
      </c>
      <c r="P4">
        <v>41884.012931504803</v>
      </c>
      <c r="Q4">
        <v>683685.05426930403</v>
      </c>
      <c r="S4">
        <v>8661.0059999999994</v>
      </c>
      <c r="T4">
        <v>54668.8674352616</v>
      </c>
      <c r="V4">
        <v>8661.0059999999994</v>
      </c>
      <c r="W4">
        <v>124734.32880060701</v>
      </c>
    </row>
    <row r="5" spans="7:23" x14ac:dyDescent="0.25">
      <c r="G5">
        <v>8662.0059999999994</v>
      </c>
      <c r="H5">
        <v>98341.484679825706</v>
      </c>
      <c r="I5">
        <v>350633.28121017298</v>
      </c>
      <c r="J5">
        <v>448974.765889998</v>
      </c>
      <c r="K5">
        <v>350751.28973686899</v>
      </c>
      <c r="L5">
        <v>55391.724673250901</v>
      </c>
      <c r="N5">
        <v>8662.0059999999994</v>
      </c>
      <c r="O5">
        <v>641856.21633780003</v>
      </c>
      <c r="P5">
        <v>41888.848931504799</v>
      </c>
      <c r="Q5">
        <v>683745.06526930397</v>
      </c>
      <c r="S5">
        <v>8662.0059999999994</v>
      </c>
      <c r="T5">
        <v>54668.8674352616</v>
      </c>
      <c r="V5">
        <v>8662.0059999999994</v>
      </c>
      <c r="W5">
        <v>124749.691800607</v>
      </c>
    </row>
    <row r="6" spans="7:23" x14ac:dyDescent="0.25">
      <c r="G6">
        <v>8663.0059999999994</v>
      </c>
      <c r="H6">
        <v>98341.484679825706</v>
      </c>
      <c r="I6">
        <v>350689.241210173</v>
      </c>
      <c r="J6">
        <v>449030.72588999802</v>
      </c>
      <c r="K6">
        <v>350807.24973686901</v>
      </c>
      <c r="L6">
        <v>55391.724673250901</v>
      </c>
      <c r="N6">
        <v>8663.0059999999994</v>
      </c>
      <c r="O6">
        <v>641900.34233779996</v>
      </c>
      <c r="P6">
        <v>41893.683931504798</v>
      </c>
      <c r="Q6">
        <v>683794.02626930398</v>
      </c>
      <c r="S6">
        <v>8663.0059999999994</v>
      </c>
      <c r="T6">
        <v>54668.8674352616</v>
      </c>
      <c r="V6">
        <v>8663.0059999999994</v>
      </c>
      <c r="W6">
        <v>124758.989800607</v>
      </c>
    </row>
    <row r="7" spans="7:23" x14ac:dyDescent="0.25">
      <c r="G7">
        <v>8664.0059999999994</v>
      </c>
      <c r="H7">
        <v>98341.484679825706</v>
      </c>
      <c r="I7">
        <v>350739.54121017299</v>
      </c>
      <c r="J7">
        <v>449081.02588999801</v>
      </c>
      <c r="K7">
        <v>350857.549736869</v>
      </c>
      <c r="L7">
        <v>55391.724673250901</v>
      </c>
      <c r="N7">
        <v>8664.0059999999994</v>
      </c>
      <c r="O7">
        <v>641940.11733779998</v>
      </c>
      <c r="P7">
        <v>41898.518931504797</v>
      </c>
      <c r="Q7">
        <v>683838.63726930495</v>
      </c>
      <c r="S7">
        <v>8664.0059999999994</v>
      </c>
      <c r="T7">
        <v>54668.8674352616</v>
      </c>
      <c r="V7">
        <v>8664.0059999999994</v>
      </c>
      <c r="W7">
        <v>124766.87080060699</v>
      </c>
    </row>
    <row r="8" spans="7:23" x14ac:dyDescent="0.25">
      <c r="G8">
        <v>8665.0059999999994</v>
      </c>
      <c r="H8">
        <v>98341.484679825706</v>
      </c>
      <c r="I8">
        <v>350776.54121017299</v>
      </c>
      <c r="J8">
        <v>449118.02588999801</v>
      </c>
      <c r="K8">
        <v>350894.549736869</v>
      </c>
      <c r="L8">
        <v>55391.724673250901</v>
      </c>
      <c r="N8">
        <v>8665.0059999999994</v>
      </c>
      <c r="O8">
        <v>641963.99333780003</v>
      </c>
      <c r="P8">
        <v>41903.3549315048</v>
      </c>
      <c r="Q8">
        <v>683867.34826930496</v>
      </c>
      <c r="S8">
        <v>8665.0059999999994</v>
      </c>
      <c r="T8">
        <v>54668.8674352616</v>
      </c>
      <c r="V8">
        <v>8665.0059999999994</v>
      </c>
      <c r="W8">
        <v>124772.061800607</v>
      </c>
    </row>
    <row r="9" spans="7:23" x14ac:dyDescent="0.25">
      <c r="G9">
        <v>8666.0059999999994</v>
      </c>
      <c r="H9">
        <v>98341.484679825706</v>
      </c>
      <c r="I9">
        <v>350808.65121017297</v>
      </c>
      <c r="J9">
        <v>449150.135889998</v>
      </c>
      <c r="K9">
        <v>350926.65973686898</v>
      </c>
      <c r="L9">
        <v>55391.724673250901</v>
      </c>
      <c r="N9">
        <v>8666.0059999999994</v>
      </c>
      <c r="O9">
        <v>641981.45533779997</v>
      </c>
      <c r="P9">
        <v>41908.189931504799</v>
      </c>
      <c r="Q9">
        <v>683889.64626930398</v>
      </c>
      <c r="S9">
        <v>8666.0059999999994</v>
      </c>
      <c r="T9">
        <v>54668.8674352616</v>
      </c>
      <c r="V9">
        <v>8666.0059999999994</v>
      </c>
      <c r="W9">
        <v>124775.800800607</v>
      </c>
    </row>
    <row r="10" spans="7:23" x14ac:dyDescent="0.25">
      <c r="G10">
        <v>8667.0059999999994</v>
      </c>
      <c r="H10">
        <v>98341.484679825706</v>
      </c>
      <c r="I10">
        <v>350838.37121017301</v>
      </c>
      <c r="J10">
        <v>449179.85588999803</v>
      </c>
      <c r="K10">
        <v>350956.37973686901</v>
      </c>
      <c r="L10">
        <v>55391.724673250901</v>
      </c>
      <c r="N10">
        <v>8667.0059999999994</v>
      </c>
      <c r="O10">
        <v>641995.40133779997</v>
      </c>
      <c r="P10">
        <v>41913.025931504802</v>
      </c>
      <c r="Q10">
        <v>683908.42726930405</v>
      </c>
      <c r="S10">
        <v>8667.0059999999994</v>
      </c>
      <c r="T10">
        <v>54668.8674352616</v>
      </c>
      <c r="V10">
        <v>8667.0059999999994</v>
      </c>
      <c r="W10">
        <v>124778.884800607</v>
      </c>
    </row>
    <row r="11" spans="7:23" x14ac:dyDescent="0.25">
      <c r="G11">
        <v>8668.0059999999994</v>
      </c>
      <c r="H11">
        <v>98341.484679825706</v>
      </c>
      <c r="I11">
        <v>350867.25121017301</v>
      </c>
      <c r="J11">
        <v>449208.73588999797</v>
      </c>
      <c r="K11">
        <v>350985.30973686901</v>
      </c>
      <c r="L11">
        <v>55391.724673250901</v>
      </c>
      <c r="N11">
        <v>8668.0059999999994</v>
      </c>
      <c r="O11">
        <v>642002.86833780003</v>
      </c>
      <c r="P11">
        <v>41917.860931504802</v>
      </c>
      <c r="Q11">
        <v>683920.72926930396</v>
      </c>
      <c r="S11">
        <v>8668.0059999999994</v>
      </c>
      <c r="T11">
        <v>54668.8674352616</v>
      </c>
      <c r="V11">
        <v>8668.0059999999994</v>
      </c>
      <c r="W11">
        <v>124781.902800607</v>
      </c>
    </row>
    <row r="12" spans="7:23" x14ac:dyDescent="0.25">
      <c r="G12">
        <v>8669.0059999999994</v>
      </c>
      <c r="H12">
        <v>98341.484679825706</v>
      </c>
      <c r="I12">
        <v>350896.37121017301</v>
      </c>
      <c r="J12">
        <v>449237.85588999803</v>
      </c>
      <c r="K12">
        <v>351014.429736869</v>
      </c>
      <c r="L12">
        <v>55391.724673250901</v>
      </c>
      <c r="N12">
        <v>8669.0059999999994</v>
      </c>
      <c r="O12">
        <v>642003.10733779997</v>
      </c>
      <c r="P12">
        <v>41922.695931504801</v>
      </c>
      <c r="Q12">
        <v>683925.80426930403</v>
      </c>
      <c r="S12">
        <v>8669.0059999999994</v>
      </c>
      <c r="T12">
        <v>54668.8674352616</v>
      </c>
      <c r="V12">
        <v>8669.0059999999994</v>
      </c>
      <c r="W12">
        <v>124784.883800607</v>
      </c>
    </row>
    <row r="13" spans="7:23" x14ac:dyDescent="0.25">
      <c r="G13">
        <v>8670.0059999999994</v>
      </c>
      <c r="H13">
        <v>98341.484679825706</v>
      </c>
      <c r="I13">
        <v>350930.63121017301</v>
      </c>
      <c r="J13">
        <v>449272.11588999798</v>
      </c>
      <c r="K13">
        <v>351048.68973686901</v>
      </c>
      <c r="L13">
        <v>55391.724673250901</v>
      </c>
      <c r="N13">
        <v>8670.0059999999994</v>
      </c>
      <c r="O13">
        <v>642003.20933780004</v>
      </c>
      <c r="P13">
        <v>41927.531931504796</v>
      </c>
      <c r="Q13">
        <v>683930.74126930395</v>
      </c>
      <c r="S13">
        <v>8670.0059999999994</v>
      </c>
      <c r="T13">
        <v>54668.8674352616</v>
      </c>
      <c r="V13">
        <v>8670.0059999999994</v>
      </c>
      <c r="W13">
        <v>124788.539800607</v>
      </c>
    </row>
    <row r="14" spans="7:23" x14ac:dyDescent="0.25">
      <c r="G14">
        <v>8671.0059999999994</v>
      </c>
      <c r="H14">
        <v>98341.484679825706</v>
      </c>
      <c r="I14">
        <v>350972.13121017301</v>
      </c>
      <c r="J14">
        <v>449313.61588999798</v>
      </c>
      <c r="K14">
        <v>351090.18973686901</v>
      </c>
      <c r="L14">
        <v>55391.724673250901</v>
      </c>
      <c r="N14">
        <v>8671.0059999999994</v>
      </c>
      <c r="O14">
        <v>642003.55033779901</v>
      </c>
      <c r="P14">
        <v>41932.366931504803</v>
      </c>
      <c r="Q14">
        <v>683935.91726930405</v>
      </c>
      <c r="S14">
        <v>8671.0059999999994</v>
      </c>
      <c r="T14">
        <v>54668.8674352616</v>
      </c>
      <c r="V14">
        <v>8671.0059999999994</v>
      </c>
      <c r="W14">
        <v>124793.110800607</v>
      </c>
    </row>
    <row r="15" spans="7:23" x14ac:dyDescent="0.25">
      <c r="G15">
        <v>8672.0059999999994</v>
      </c>
      <c r="H15">
        <v>98341.484679825706</v>
      </c>
      <c r="I15">
        <v>351026.97121017298</v>
      </c>
      <c r="J15">
        <v>449368.455889998</v>
      </c>
      <c r="K15">
        <v>351145.02973686898</v>
      </c>
      <c r="L15">
        <v>55391.724673250901</v>
      </c>
      <c r="N15">
        <v>8672.0059999999994</v>
      </c>
      <c r="O15">
        <v>642043.6423378</v>
      </c>
      <c r="P15">
        <v>41937.201931504802</v>
      </c>
      <c r="Q15">
        <v>683980.845269304</v>
      </c>
      <c r="S15">
        <v>8672.0059999999994</v>
      </c>
      <c r="T15">
        <v>54668.8674352616</v>
      </c>
      <c r="V15">
        <v>8672.0059999999994</v>
      </c>
      <c r="W15">
        <v>124801.577800607</v>
      </c>
    </row>
    <row r="16" spans="7:23" x14ac:dyDescent="0.25">
      <c r="G16">
        <v>8673.0059999999994</v>
      </c>
      <c r="H16">
        <v>98341.658679825705</v>
      </c>
      <c r="I16">
        <v>351095.14721017302</v>
      </c>
      <c r="J16">
        <v>449436.80588999798</v>
      </c>
      <c r="K16">
        <v>351213.20573686901</v>
      </c>
      <c r="L16">
        <v>55391.724673250901</v>
      </c>
      <c r="N16">
        <v>8673.0059999999994</v>
      </c>
      <c r="O16">
        <v>642094.65533780004</v>
      </c>
      <c r="P16">
        <v>41942.037931504798</v>
      </c>
      <c r="Q16">
        <v>684036.693269304</v>
      </c>
      <c r="S16">
        <v>8673.0059999999994</v>
      </c>
      <c r="T16">
        <v>54668.8674352616</v>
      </c>
      <c r="V16">
        <v>8673.0059999999994</v>
      </c>
      <c r="W16">
        <v>124812.823800607</v>
      </c>
    </row>
    <row r="17" spans="7:23" x14ac:dyDescent="0.25">
      <c r="G17">
        <v>8674.0059999999994</v>
      </c>
      <c r="H17">
        <v>98343.554679825698</v>
      </c>
      <c r="I17">
        <v>351171.72121017298</v>
      </c>
      <c r="J17">
        <v>449515.27588999801</v>
      </c>
      <c r="K17">
        <v>351289.77973686898</v>
      </c>
      <c r="L17">
        <v>55391.727673250898</v>
      </c>
      <c r="N17">
        <v>8674.0059999999994</v>
      </c>
      <c r="O17">
        <v>642150.86433779995</v>
      </c>
      <c r="P17">
        <v>41946.872931504797</v>
      </c>
      <c r="Q17">
        <v>684097.73726930399</v>
      </c>
      <c r="S17">
        <v>8674.0059999999994</v>
      </c>
      <c r="T17">
        <v>54668.8694352616</v>
      </c>
      <c r="V17">
        <v>8674.0059999999994</v>
      </c>
      <c r="W17">
        <v>124826.299800607</v>
      </c>
    </row>
    <row r="18" spans="7:23" x14ac:dyDescent="0.25">
      <c r="G18">
        <v>8675.0059999999994</v>
      </c>
      <c r="H18">
        <v>98347.991679825704</v>
      </c>
      <c r="I18">
        <v>351246.11421017302</v>
      </c>
      <c r="J18">
        <v>449594.10588999803</v>
      </c>
      <c r="K18">
        <v>351364.17273686902</v>
      </c>
      <c r="L18">
        <v>55391.802673250902</v>
      </c>
      <c r="N18">
        <v>8675.0059999999994</v>
      </c>
      <c r="O18">
        <v>642210.74633780005</v>
      </c>
      <c r="P18">
        <v>41951.7089315048</v>
      </c>
      <c r="Q18">
        <v>684162.45526930399</v>
      </c>
      <c r="S18">
        <v>8675.0059999999994</v>
      </c>
      <c r="T18">
        <v>54668.9054352616</v>
      </c>
      <c r="V18">
        <v>8675.0059999999994</v>
      </c>
      <c r="W18">
        <v>124840.30580060701</v>
      </c>
    </row>
    <row r="19" spans="7:23" x14ac:dyDescent="0.25">
      <c r="G19">
        <v>8676.0059999999994</v>
      </c>
      <c r="H19">
        <v>98353.360679825695</v>
      </c>
      <c r="I19">
        <v>351313.64521017298</v>
      </c>
      <c r="J19">
        <v>449667.00588999799</v>
      </c>
      <c r="K19">
        <v>351431.70373686898</v>
      </c>
      <c r="L19">
        <v>55391.976673250902</v>
      </c>
      <c r="N19">
        <v>8676.0059999999994</v>
      </c>
      <c r="O19">
        <v>642263.2403378</v>
      </c>
      <c r="P19">
        <v>41956.543931504799</v>
      </c>
      <c r="Q19">
        <v>684219.78426930495</v>
      </c>
      <c r="S19">
        <v>8676.0059999999994</v>
      </c>
      <c r="T19">
        <v>54668.988435261599</v>
      </c>
      <c r="V19">
        <v>8676.0059999999994</v>
      </c>
      <c r="W19">
        <v>124854.231800607</v>
      </c>
    </row>
    <row r="20" spans="7:23" x14ac:dyDescent="0.25">
      <c r="G20">
        <v>8677.0059999999994</v>
      </c>
      <c r="H20">
        <v>98358.766679825698</v>
      </c>
      <c r="I20">
        <v>351382.68921017298</v>
      </c>
      <c r="J20">
        <v>449741.455889998</v>
      </c>
      <c r="K20">
        <v>351500.74773686897</v>
      </c>
      <c r="L20">
        <v>55392.050673250902</v>
      </c>
      <c r="N20">
        <v>8677.0059999999994</v>
      </c>
      <c r="O20">
        <v>642315.67433780001</v>
      </c>
      <c r="P20">
        <v>41961.378931504798</v>
      </c>
      <c r="Q20">
        <v>684277.05326930399</v>
      </c>
      <c r="S20">
        <v>8677.0059999999994</v>
      </c>
      <c r="T20">
        <v>54669.023435261603</v>
      </c>
      <c r="V20">
        <v>8677.0059999999994</v>
      </c>
      <c r="W20">
        <v>124867.826800607</v>
      </c>
    </row>
    <row r="21" spans="7:23" x14ac:dyDescent="0.25">
      <c r="G21">
        <v>8678.0059999999994</v>
      </c>
      <c r="H21">
        <v>98362.461679825705</v>
      </c>
      <c r="I21">
        <v>351448.844210173</v>
      </c>
      <c r="J21">
        <v>449811.30588999798</v>
      </c>
      <c r="K21">
        <v>351566.902736869</v>
      </c>
      <c r="L21">
        <v>55392.097673250901</v>
      </c>
      <c r="N21">
        <v>8678.0059999999994</v>
      </c>
      <c r="O21">
        <v>642370.99733779998</v>
      </c>
      <c r="P21">
        <v>41966.214931504801</v>
      </c>
      <c r="Q21">
        <v>684337.21226930397</v>
      </c>
      <c r="S21">
        <v>8678.0059999999994</v>
      </c>
      <c r="T21">
        <v>54669.046435261604</v>
      </c>
      <c r="V21">
        <v>8678.0059999999994</v>
      </c>
      <c r="W21">
        <v>124880.22680060699</v>
      </c>
    </row>
    <row r="22" spans="7:23" x14ac:dyDescent="0.25">
      <c r="G22">
        <v>8679.0059999999994</v>
      </c>
      <c r="H22">
        <v>98363.298679825704</v>
      </c>
      <c r="I22">
        <v>351525.567210173</v>
      </c>
      <c r="J22">
        <v>449888.86588999798</v>
      </c>
      <c r="K22">
        <v>351643.625736869</v>
      </c>
      <c r="L22">
        <v>55392.097673250901</v>
      </c>
      <c r="N22">
        <v>8679.0059999999994</v>
      </c>
      <c r="O22">
        <v>642441.56833779998</v>
      </c>
      <c r="P22">
        <v>41971.0499315048</v>
      </c>
      <c r="Q22">
        <v>684412.61826930405</v>
      </c>
      <c r="S22">
        <v>8679.0059999999994</v>
      </c>
      <c r="T22">
        <v>54669.046435261604</v>
      </c>
      <c r="V22">
        <v>8679.0059999999994</v>
      </c>
      <c r="W22">
        <v>124892.93080060701</v>
      </c>
    </row>
    <row r="23" spans="7:23" x14ac:dyDescent="0.25">
      <c r="G23">
        <v>8680.0059999999994</v>
      </c>
      <c r="H23">
        <v>98363.303679825694</v>
      </c>
      <c r="I23">
        <v>351612.91221017297</v>
      </c>
      <c r="J23">
        <v>449976.21588999801</v>
      </c>
      <c r="K23">
        <v>351730.97073686903</v>
      </c>
      <c r="L23">
        <v>55392.097673250901</v>
      </c>
      <c r="N23">
        <v>8680.0059999999994</v>
      </c>
      <c r="O23">
        <v>642540.61133780004</v>
      </c>
      <c r="P23">
        <v>41975.884931504799</v>
      </c>
      <c r="Q23">
        <v>684516.49626930396</v>
      </c>
      <c r="S23">
        <v>8680.0059999999994</v>
      </c>
      <c r="T23">
        <v>54669.046435261604</v>
      </c>
      <c r="V23">
        <v>8680.0059999999994</v>
      </c>
      <c r="W23">
        <v>124907.183800607</v>
      </c>
    </row>
    <row r="24" spans="7:23" x14ac:dyDescent="0.25">
      <c r="G24">
        <v>8681.0059999999994</v>
      </c>
      <c r="H24">
        <v>98363.303679825694</v>
      </c>
      <c r="I24">
        <v>351722.97221017297</v>
      </c>
      <c r="J24">
        <v>450086.27588999801</v>
      </c>
      <c r="K24">
        <v>351841.03073686903</v>
      </c>
      <c r="L24">
        <v>55392.097673250901</v>
      </c>
      <c r="N24">
        <v>8681.0059999999994</v>
      </c>
      <c r="O24">
        <v>642668.03733780002</v>
      </c>
      <c r="P24">
        <v>41980.720931504802</v>
      </c>
      <c r="Q24">
        <v>684648.75826930394</v>
      </c>
      <c r="S24">
        <v>8681.0059999999994</v>
      </c>
      <c r="T24">
        <v>54669.046435261604</v>
      </c>
      <c r="V24">
        <v>8681.0059999999994</v>
      </c>
      <c r="W24">
        <v>124926.966800607</v>
      </c>
    </row>
    <row r="25" spans="7:23" x14ac:dyDescent="0.25">
      <c r="G25">
        <v>8682.0059999999994</v>
      </c>
      <c r="H25">
        <v>98363.303679825694</v>
      </c>
      <c r="I25">
        <v>351837.812210173</v>
      </c>
      <c r="J25">
        <v>450201.11588999798</v>
      </c>
      <c r="K25">
        <v>351955.87073686899</v>
      </c>
      <c r="L25">
        <v>55392.097673250901</v>
      </c>
      <c r="N25">
        <v>8682.0059999999994</v>
      </c>
      <c r="O25">
        <v>642804.42533779901</v>
      </c>
      <c r="P25">
        <v>41985.555931504801</v>
      </c>
      <c r="Q25">
        <v>684789.98126930394</v>
      </c>
      <c r="S25">
        <v>8682.0059999999994</v>
      </c>
      <c r="T25">
        <v>54669.046435261604</v>
      </c>
      <c r="V25">
        <v>8682.0059999999994</v>
      </c>
      <c r="W25">
        <v>124945.262800607</v>
      </c>
    </row>
    <row r="26" spans="7:23" x14ac:dyDescent="0.25">
      <c r="G26">
        <v>8683.0059999999994</v>
      </c>
      <c r="H26">
        <v>98363.303679825694</v>
      </c>
      <c r="I26">
        <v>351937.62221017299</v>
      </c>
      <c r="J26">
        <v>450300.92588999798</v>
      </c>
      <c r="K26">
        <v>352055.68073686899</v>
      </c>
      <c r="L26">
        <v>55392.097673250901</v>
      </c>
      <c r="N26">
        <v>8683.0059999999994</v>
      </c>
      <c r="O26">
        <v>642921.77133779996</v>
      </c>
      <c r="P26">
        <v>41990.391931504797</v>
      </c>
      <c r="Q26">
        <v>684912.16326930397</v>
      </c>
      <c r="S26">
        <v>8683.0059999999994</v>
      </c>
      <c r="T26">
        <v>54669.046435261604</v>
      </c>
      <c r="V26">
        <v>8683.0059999999994</v>
      </c>
      <c r="W26">
        <v>124960.785800607</v>
      </c>
    </row>
    <row r="27" spans="7:23" x14ac:dyDescent="0.25">
      <c r="G27">
        <v>8684.0059999999994</v>
      </c>
      <c r="H27">
        <v>98363.303679825694</v>
      </c>
      <c r="I27">
        <v>352023.14221017301</v>
      </c>
      <c r="J27">
        <v>450386.44588999799</v>
      </c>
      <c r="K27">
        <v>352141.20073686901</v>
      </c>
      <c r="L27">
        <v>55392.097673250901</v>
      </c>
      <c r="N27">
        <v>8684.0059999999994</v>
      </c>
      <c r="O27">
        <v>643019.31833779998</v>
      </c>
      <c r="P27">
        <v>41995.226931504803</v>
      </c>
      <c r="Q27">
        <v>685014.54526930396</v>
      </c>
      <c r="S27">
        <v>8684.0059999999994</v>
      </c>
      <c r="T27">
        <v>54669.046435261604</v>
      </c>
      <c r="V27">
        <v>8684.0059999999994</v>
      </c>
      <c r="W27">
        <v>124976.15480060699</v>
      </c>
    </row>
    <row r="28" spans="7:23" x14ac:dyDescent="0.25">
      <c r="G28">
        <v>8685.0059999999994</v>
      </c>
      <c r="H28">
        <v>98363.303679825694</v>
      </c>
      <c r="I28">
        <v>352098.73221017298</v>
      </c>
      <c r="J28">
        <v>450462.03588999802</v>
      </c>
      <c r="K28">
        <v>352216.79073686898</v>
      </c>
      <c r="L28">
        <v>55392.097673250901</v>
      </c>
      <c r="N28">
        <v>8685.0059999999994</v>
      </c>
      <c r="O28">
        <v>643100.97133780003</v>
      </c>
      <c r="P28">
        <v>42000.061931504802</v>
      </c>
      <c r="Q28">
        <v>685101.03426930495</v>
      </c>
      <c r="S28">
        <v>8685.0059999999994</v>
      </c>
      <c r="T28">
        <v>54669.046435261604</v>
      </c>
      <c r="V28">
        <v>8685.0059999999994</v>
      </c>
      <c r="W28">
        <v>124989.82180060699</v>
      </c>
    </row>
    <row r="29" spans="7:23" x14ac:dyDescent="0.25">
      <c r="G29">
        <v>8686.0059999999994</v>
      </c>
      <c r="H29">
        <v>98363.303679825694</v>
      </c>
      <c r="I29">
        <v>352162.76221017301</v>
      </c>
      <c r="J29">
        <v>450526.06588999799</v>
      </c>
      <c r="K29">
        <v>352280.82073686901</v>
      </c>
      <c r="L29">
        <v>55392.097673250901</v>
      </c>
      <c r="N29">
        <v>8686.0059999999994</v>
      </c>
      <c r="O29">
        <v>643167.84433780005</v>
      </c>
      <c r="P29">
        <v>42004.897931504798</v>
      </c>
      <c r="Q29">
        <v>685172.742269304</v>
      </c>
      <c r="S29">
        <v>8686.0059999999994</v>
      </c>
      <c r="T29">
        <v>54669.046435261604</v>
      </c>
      <c r="V29">
        <v>8686.0059999999994</v>
      </c>
      <c r="W29">
        <v>125001.361800607</v>
      </c>
    </row>
    <row r="30" spans="7:23" x14ac:dyDescent="0.25">
      <c r="G30">
        <v>8687.0059999999994</v>
      </c>
      <c r="H30">
        <v>98363.303679825694</v>
      </c>
      <c r="I30">
        <v>352213.942210173</v>
      </c>
      <c r="J30">
        <v>450577.24588999798</v>
      </c>
      <c r="K30">
        <v>352332.190736869</v>
      </c>
      <c r="L30">
        <v>55392.097673250901</v>
      </c>
      <c r="N30">
        <v>8687.0059999999994</v>
      </c>
      <c r="O30">
        <v>643220.7673378</v>
      </c>
      <c r="P30">
        <v>42009.732931504797</v>
      </c>
      <c r="Q30">
        <v>685230.50026930496</v>
      </c>
      <c r="S30">
        <v>8687.0059999999994</v>
      </c>
      <c r="T30">
        <v>54669.046435261604</v>
      </c>
      <c r="V30">
        <v>8687.0059999999994</v>
      </c>
      <c r="W30">
        <v>125013.57880060701</v>
      </c>
    </row>
    <row r="31" spans="7:23" x14ac:dyDescent="0.25">
      <c r="G31">
        <v>8688.0059999999994</v>
      </c>
      <c r="H31">
        <v>98363.303679825694</v>
      </c>
      <c r="I31">
        <v>352256.08221017302</v>
      </c>
      <c r="J31">
        <v>450619.385889998</v>
      </c>
      <c r="K31">
        <v>352374.33073686901</v>
      </c>
      <c r="L31">
        <v>55392.097673250901</v>
      </c>
      <c r="N31">
        <v>8688.0059999999994</v>
      </c>
      <c r="O31">
        <v>643269.24233779998</v>
      </c>
      <c r="P31">
        <v>42014.567931504796</v>
      </c>
      <c r="Q31">
        <v>685283.81026930397</v>
      </c>
      <c r="S31">
        <v>8688.0059999999994</v>
      </c>
      <c r="T31">
        <v>54669.046435261604</v>
      </c>
      <c r="V31">
        <v>8688.0059999999994</v>
      </c>
      <c r="W31">
        <v>125026.754800607</v>
      </c>
    </row>
    <row r="32" spans="7:23" x14ac:dyDescent="0.25">
      <c r="G32">
        <v>8689.0059999999994</v>
      </c>
      <c r="H32">
        <v>98363.303679825694</v>
      </c>
      <c r="I32">
        <v>352292.85221017298</v>
      </c>
      <c r="J32">
        <v>450656.15588999802</v>
      </c>
      <c r="K32">
        <v>352411.10073686898</v>
      </c>
      <c r="L32">
        <v>55392.097673250901</v>
      </c>
      <c r="N32">
        <v>8689.0059999999994</v>
      </c>
      <c r="O32">
        <v>643311.5123378</v>
      </c>
      <c r="P32">
        <v>42019.403931504799</v>
      </c>
      <c r="Q32">
        <v>685330.916269304</v>
      </c>
      <c r="S32">
        <v>8689.0059999999994</v>
      </c>
      <c r="T32">
        <v>54669.046435261604</v>
      </c>
      <c r="V32">
        <v>8689.0059999999994</v>
      </c>
      <c r="W32">
        <v>125038.702800607</v>
      </c>
    </row>
    <row r="33" spans="7:23" x14ac:dyDescent="0.25">
      <c r="G33">
        <v>8690.0059999999994</v>
      </c>
      <c r="H33">
        <v>98363.303679825694</v>
      </c>
      <c r="I33">
        <v>352326.002210173</v>
      </c>
      <c r="J33">
        <v>450689.30588999798</v>
      </c>
      <c r="K33">
        <v>352444.250736869</v>
      </c>
      <c r="L33">
        <v>55392.097673250901</v>
      </c>
      <c r="N33">
        <v>8690.0059999999994</v>
      </c>
      <c r="O33">
        <v>643349.81933780003</v>
      </c>
      <c r="P33">
        <v>42024.238931504799</v>
      </c>
      <c r="Q33">
        <v>685374.05826930399</v>
      </c>
      <c r="S33">
        <v>8690.0059999999994</v>
      </c>
      <c r="T33">
        <v>54669.046435261604</v>
      </c>
      <c r="V33">
        <v>8690.0059999999994</v>
      </c>
      <c r="W33">
        <v>125049.68480060701</v>
      </c>
    </row>
    <row r="34" spans="7:23" x14ac:dyDescent="0.25">
      <c r="G34">
        <v>8691.0059999999994</v>
      </c>
      <c r="H34">
        <v>98363.303679825694</v>
      </c>
      <c r="I34">
        <v>352357.80221017299</v>
      </c>
      <c r="J34">
        <v>450721.10588999803</v>
      </c>
      <c r="K34">
        <v>352476.05073686899</v>
      </c>
      <c r="L34">
        <v>55392.097673250901</v>
      </c>
      <c r="N34">
        <v>8691.0059999999994</v>
      </c>
      <c r="O34">
        <v>643386.89833780006</v>
      </c>
      <c r="P34">
        <v>42029.074931504801</v>
      </c>
      <c r="Q34">
        <v>685415.97226930398</v>
      </c>
      <c r="S34">
        <v>8691.0059999999994</v>
      </c>
      <c r="T34">
        <v>54669.046435261604</v>
      </c>
      <c r="V34">
        <v>8691.0059999999994</v>
      </c>
      <c r="W34">
        <v>125061.83680060699</v>
      </c>
    </row>
    <row r="35" spans="7:23" x14ac:dyDescent="0.25">
      <c r="G35">
        <v>8692.0059999999994</v>
      </c>
      <c r="H35">
        <v>98363.303679825694</v>
      </c>
      <c r="I35">
        <v>352387.74221017299</v>
      </c>
      <c r="J35">
        <v>450751.04588999797</v>
      </c>
      <c r="K35">
        <v>352505.99073686899</v>
      </c>
      <c r="L35">
        <v>55392.097673250901</v>
      </c>
      <c r="N35">
        <v>8692.0059999999994</v>
      </c>
      <c r="O35">
        <v>643423.90733780002</v>
      </c>
      <c r="P35">
        <v>42033.909931504801</v>
      </c>
      <c r="Q35">
        <v>685457.81726930395</v>
      </c>
      <c r="S35">
        <v>8692.0059999999994</v>
      </c>
      <c r="T35">
        <v>54669.046435261604</v>
      </c>
      <c r="V35">
        <v>8692.0059999999994</v>
      </c>
      <c r="W35">
        <v>125074.86280060701</v>
      </c>
    </row>
    <row r="36" spans="7:23" x14ac:dyDescent="0.25">
      <c r="G36">
        <v>8693.0059999999994</v>
      </c>
      <c r="H36">
        <v>98363.303679825694</v>
      </c>
      <c r="I36">
        <v>352419.60221017298</v>
      </c>
      <c r="J36">
        <v>450782.90588999802</v>
      </c>
      <c r="K36">
        <v>352537.85073686898</v>
      </c>
      <c r="L36">
        <v>55392.097673250901</v>
      </c>
      <c r="N36">
        <v>8693.0059999999994</v>
      </c>
      <c r="O36">
        <v>643465.97633780004</v>
      </c>
      <c r="P36">
        <v>42038.7449315048</v>
      </c>
      <c r="Q36">
        <v>685504.72126930405</v>
      </c>
      <c r="S36">
        <v>8693.0059999999994</v>
      </c>
      <c r="T36">
        <v>54669.046435261604</v>
      </c>
      <c r="V36">
        <v>8693.0059999999994</v>
      </c>
      <c r="W36">
        <v>125089.365800607</v>
      </c>
    </row>
    <row r="37" spans="7:23" x14ac:dyDescent="0.25">
      <c r="G37">
        <v>8694.0059999999994</v>
      </c>
      <c r="H37">
        <v>98363.303679825694</v>
      </c>
      <c r="I37">
        <v>352461.48221017298</v>
      </c>
      <c r="J37">
        <v>450824.78588999802</v>
      </c>
      <c r="K37">
        <v>352579.73073686898</v>
      </c>
      <c r="L37">
        <v>55392.097673250901</v>
      </c>
      <c r="N37">
        <v>8694.0059999999994</v>
      </c>
      <c r="O37">
        <v>643523.11833780003</v>
      </c>
      <c r="P37">
        <v>42043.580931504803</v>
      </c>
      <c r="Q37">
        <v>685566.69926930405</v>
      </c>
      <c r="S37">
        <v>8694.0059999999994</v>
      </c>
      <c r="T37">
        <v>54669.046435261604</v>
      </c>
      <c r="V37">
        <v>8694.0059999999994</v>
      </c>
      <c r="W37">
        <v>125110.85180060699</v>
      </c>
    </row>
    <row r="38" spans="7:23" x14ac:dyDescent="0.25">
      <c r="G38">
        <v>8695.0059999999994</v>
      </c>
      <c r="H38">
        <v>98363.303679825694</v>
      </c>
      <c r="I38">
        <v>352510.12221017299</v>
      </c>
      <c r="J38">
        <v>450873.42588999798</v>
      </c>
      <c r="K38">
        <v>352628.37073686899</v>
      </c>
      <c r="L38">
        <v>55392.097673250901</v>
      </c>
      <c r="N38">
        <v>8695.0059999999994</v>
      </c>
      <c r="O38">
        <v>643595.29033780005</v>
      </c>
      <c r="P38">
        <v>42048.415931504802</v>
      </c>
      <c r="Q38">
        <v>685643.70626930404</v>
      </c>
      <c r="S38">
        <v>8695.0059999999994</v>
      </c>
      <c r="T38">
        <v>54669.046435261604</v>
      </c>
      <c r="V38">
        <v>8695.0059999999994</v>
      </c>
      <c r="W38">
        <v>125139.852800607</v>
      </c>
    </row>
    <row r="39" spans="7:23" x14ac:dyDescent="0.25">
      <c r="G39">
        <v>8696.0059999999994</v>
      </c>
      <c r="H39">
        <v>98363.355679825705</v>
      </c>
      <c r="I39">
        <v>352563.28021017299</v>
      </c>
      <c r="J39">
        <v>450926.635889998</v>
      </c>
      <c r="K39">
        <v>352681.52873686899</v>
      </c>
      <c r="L39">
        <v>55392.097673250901</v>
      </c>
      <c r="N39">
        <v>8696.0059999999994</v>
      </c>
      <c r="O39">
        <v>643678.92433780001</v>
      </c>
      <c r="P39">
        <v>42053.250931504801</v>
      </c>
      <c r="Q39">
        <v>685732.17626930401</v>
      </c>
      <c r="S39">
        <v>8696.0059999999994</v>
      </c>
      <c r="T39">
        <v>54669.046435261604</v>
      </c>
      <c r="V39">
        <v>8696.0059999999994</v>
      </c>
      <c r="W39">
        <v>125173.197800607</v>
      </c>
    </row>
    <row r="40" spans="7:23" x14ac:dyDescent="0.25">
      <c r="G40">
        <v>8697.0059999999994</v>
      </c>
      <c r="H40">
        <v>98365.978679825697</v>
      </c>
      <c r="I40">
        <v>352624.15721017303</v>
      </c>
      <c r="J40">
        <v>450990.135889998</v>
      </c>
      <c r="K40">
        <v>352742.40573686903</v>
      </c>
      <c r="L40">
        <v>55392.1316732509</v>
      </c>
      <c r="N40">
        <v>8697.0059999999994</v>
      </c>
      <c r="O40">
        <v>643787.46433780005</v>
      </c>
      <c r="P40">
        <v>42058.086931504797</v>
      </c>
      <c r="Q40">
        <v>685845.55126930401</v>
      </c>
      <c r="S40">
        <v>8697.0059999999994</v>
      </c>
      <c r="T40">
        <v>54669.085435261601</v>
      </c>
      <c r="V40">
        <v>8697.0059999999994</v>
      </c>
      <c r="W40">
        <v>125213.292800607</v>
      </c>
    </row>
    <row r="41" spans="7:23" x14ac:dyDescent="0.25">
      <c r="G41">
        <v>8698.0059999999994</v>
      </c>
      <c r="H41">
        <v>98375.931679825706</v>
      </c>
      <c r="I41">
        <v>352682.774210173</v>
      </c>
      <c r="J41">
        <v>451058.705889998</v>
      </c>
      <c r="K41">
        <v>352801.022736869</v>
      </c>
      <c r="L41">
        <v>55393.869673250898</v>
      </c>
      <c r="N41">
        <v>8698.0059999999994</v>
      </c>
      <c r="O41">
        <v>643893.33033779997</v>
      </c>
      <c r="P41">
        <v>42062.921931504803</v>
      </c>
      <c r="Q41">
        <v>685956.25226930401</v>
      </c>
      <c r="S41">
        <v>8698.0059999999994</v>
      </c>
      <c r="T41">
        <v>54670.875435261602</v>
      </c>
      <c r="V41">
        <v>8698.0059999999994</v>
      </c>
      <c r="W41">
        <v>125250.920800607</v>
      </c>
    </row>
    <row r="42" spans="7:23" x14ac:dyDescent="0.25">
      <c r="G42">
        <v>8699.0059999999994</v>
      </c>
      <c r="H42">
        <v>98390.452679825699</v>
      </c>
      <c r="I42">
        <v>352739.42321017297</v>
      </c>
      <c r="J42">
        <v>451129.87588999799</v>
      </c>
      <c r="K42">
        <v>352857.67173686897</v>
      </c>
      <c r="L42">
        <v>55398.171673250901</v>
      </c>
      <c r="N42">
        <v>8699.0059999999994</v>
      </c>
      <c r="O42">
        <v>643983.13333780004</v>
      </c>
      <c r="P42">
        <v>42067.757931504799</v>
      </c>
      <c r="Q42">
        <v>686050.89126930397</v>
      </c>
      <c r="S42">
        <v>8699.0059999999994</v>
      </c>
      <c r="T42">
        <v>54674.7274352616</v>
      </c>
      <c r="V42">
        <v>8699.0059999999994</v>
      </c>
      <c r="W42">
        <v>125286.58980060701</v>
      </c>
    </row>
    <row r="43" spans="7:23" x14ac:dyDescent="0.25">
      <c r="G43">
        <v>8700.0059999999994</v>
      </c>
      <c r="H43">
        <v>98404.295679825693</v>
      </c>
      <c r="I43">
        <v>352786.49021017301</v>
      </c>
      <c r="J43">
        <v>451190.78588999802</v>
      </c>
      <c r="K43">
        <v>352904.73873686901</v>
      </c>
      <c r="L43">
        <v>55402.1826732509</v>
      </c>
      <c r="N43">
        <v>8700.0059999999994</v>
      </c>
      <c r="O43">
        <v>644055.14833780006</v>
      </c>
      <c r="P43">
        <v>42072.592931504798</v>
      </c>
      <c r="Q43">
        <v>686127.74126930395</v>
      </c>
      <c r="S43">
        <v>8700.0059999999994</v>
      </c>
      <c r="T43">
        <v>54678.054435261598</v>
      </c>
      <c r="V43">
        <v>8700.0059999999994</v>
      </c>
      <c r="W43">
        <v>125314.755800607</v>
      </c>
    </row>
    <row r="44" spans="7:23" x14ac:dyDescent="0.25">
      <c r="G44">
        <v>8701.0059999999994</v>
      </c>
      <c r="H44">
        <v>98414.000679825695</v>
      </c>
      <c r="I44">
        <v>352837.28521017299</v>
      </c>
      <c r="J44">
        <v>451251.28588999802</v>
      </c>
      <c r="K44">
        <v>352955.53373686899</v>
      </c>
      <c r="L44">
        <v>55403.687673250897</v>
      </c>
      <c r="N44">
        <v>8701.0059999999994</v>
      </c>
      <c r="O44">
        <v>644129.83533779997</v>
      </c>
      <c r="P44">
        <v>42077.427931504797</v>
      </c>
      <c r="Q44">
        <v>686207.26326930395</v>
      </c>
      <c r="S44">
        <v>8701.0059999999994</v>
      </c>
      <c r="T44">
        <v>54679.397435261599</v>
      </c>
      <c r="V44">
        <v>8701.0059999999994</v>
      </c>
      <c r="W44">
        <v>125342.292800607</v>
      </c>
    </row>
    <row r="45" spans="7:23" x14ac:dyDescent="0.25">
      <c r="G45">
        <v>8702.0059999999994</v>
      </c>
      <c r="H45">
        <v>98418.211679825705</v>
      </c>
      <c r="I45">
        <v>352894.58421017299</v>
      </c>
      <c r="J45">
        <v>451312.79588999797</v>
      </c>
      <c r="K45">
        <v>353012.83273686899</v>
      </c>
      <c r="L45">
        <v>55403.710673250898</v>
      </c>
      <c r="N45">
        <v>8702.0059999999994</v>
      </c>
      <c r="O45">
        <v>644210.92233780003</v>
      </c>
      <c r="P45">
        <v>42082.2639315048</v>
      </c>
      <c r="Q45">
        <v>686293.18626930495</v>
      </c>
      <c r="S45">
        <v>8702.0059999999994</v>
      </c>
      <c r="T45">
        <v>54679.418435261599</v>
      </c>
      <c r="V45">
        <v>8702.0059999999994</v>
      </c>
      <c r="W45">
        <v>125369.416800607</v>
      </c>
    </row>
    <row r="46" spans="7:23" x14ac:dyDescent="0.25">
      <c r="G46">
        <v>8703.0059999999994</v>
      </c>
      <c r="H46">
        <v>98418.594679825706</v>
      </c>
      <c r="I46">
        <v>352960.83121017303</v>
      </c>
      <c r="J46">
        <v>451379.42588999798</v>
      </c>
      <c r="K46">
        <v>353079.07973686903</v>
      </c>
      <c r="L46">
        <v>55403.710673250898</v>
      </c>
      <c r="N46">
        <v>8703.0059999999994</v>
      </c>
      <c r="O46">
        <v>644303.83233779995</v>
      </c>
      <c r="P46">
        <v>42087.098931504799</v>
      </c>
      <c r="Q46">
        <v>686390.93126930494</v>
      </c>
      <c r="S46">
        <v>8703.0059999999994</v>
      </c>
      <c r="T46">
        <v>54679.418435261599</v>
      </c>
      <c r="V46">
        <v>8703.0059999999994</v>
      </c>
      <c r="W46">
        <v>125395.76780060701</v>
      </c>
    </row>
    <row r="47" spans="7:23" x14ac:dyDescent="0.25">
      <c r="G47">
        <v>8704.0059999999994</v>
      </c>
      <c r="H47">
        <v>98418.5966798257</v>
      </c>
      <c r="I47">
        <v>353046.05921017303</v>
      </c>
      <c r="J47">
        <v>451464.65588999802</v>
      </c>
      <c r="K47">
        <v>353164.30773686903</v>
      </c>
      <c r="L47">
        <v>55403.710673250898</v>
      </c>
      <c r="N47">
        <v>8704.0059999999994</v>
      </c>
      <c r="O47">
        <v>644426.09733779996</v>
      </c>
      <c r="P47">
        <v>42091.933931504798</v>
      </c>
      <c r="Q47">
        <v>686518.03126930399</v>
      </c>
      <c r="S47">
        <v>8704.0059999999994</v>
      </c>
      <c r="T47">
        <v>54679.418435261599</v>
      </c>
      <c r="V47">
        <v>8704.0059999999994</v>
      </c>
      <c r="W47">
        <v>125425.133800607</v>
      </c>
    </row>
    <row r="48" spans="7:23" x14ac:dyDescent="0.25">
      <c r="G48">
        <v>8705.0059999999994</v>
      </c>
      <c r="H48">
        <v>98418.5966798257</v>
      </c>
      <c r="I48">
        <v>353156.76921017299</v>
      </c>
      <c r="J48">
        <v>451575.36588999798</v>
      </c>
      <c r="K48">
        <v>353275.01773686899</v>
      </c>
      <c r="L48">
        <v>55403.710673250898</v>
      </c>
      <c r="N48">
        <v>8705.0059999999994</v>
      </c>
      <c r="O48">
        <v>644580.45733779995</v>
      </c>
      <c r="P48">
        <v>42096.769931504801</v>
      </c>
      <c r="Q48">
        <v>686677.22726930398</v>
      </c>
      <c r="S48">
        <v>8705.0059999999994</v>
      </c>
      <c r="T48">
        <v>54679.418435261599</v>
      </c>
      <c r="V48">
        <v>8705.0059999999994</v>
      </c>
      <c r="W48">
        <v>125460.41980060699</v>
      </c>
    </row>
    <row r="49" spans="7:23" x14ac:dyDescent="0.25">
      <c r="G49">
        <v>8706.0059999999994</v>
      </c>
      <c r="H49">
        <v>98418.5966798257</v>
      </c>
      <c r="I49">
        <v>353274.60921017302</v>
      </c>
      <c r="J49">
        <v>451693.205889998</v>
      </c>
      <c r="K49">
        <v>353392.85773686902</v>
      </c>
      <c r="L49">
        <v>55403.710673250898</v>
      </c>
      <c r="N49">
        <v>8706.0059999999994</v>
      </c>
      <c r="O49">
        <v>644739.22033779998</v>
      </c>
      <c r="P49">
        <v>42101.6049315048</v>
      </c>
      <c r="Q49">
        <v>686840.82526930398</v>
      </c>
      <c r="S49">
        <v>8706.0059999999994</v>
      </c>
      <c r="T49">
        <v>54679.418435261599</v>
      </c>
      <c r="V49">
        <v>8706.0059999999994</v>
      </c>
      <c r="W49">
        <v>125491.42680060701</v>
      </c>
    </row>
    <row r="50" spans="7:23" x14ac:dyDescent="0.25">
      <c r="G50">
        <v>8707.0059999999994</v>
      </c>
      <c r="H50">
        <v>98418.5966798257</v>
      </c>
      <c r="I50">
        <v>353370.68921017298</v>
      </c>
      <c r="J50">
        <v>451789.28588999802</v>
      </c>
      <c r="K50">
        <v>353488.93773686897</v>
      </c>
      <c r="L50">
        <v>55403.710673250898</v>
      </c>
      <c r="N50">
        <v>8707.0059999999994</v>
      </c>
      <c r="O50">
        <v>644857.05533779995</v>
      </c>
      <c r="P50">
        <v>42106.440931504803</v>
      </c>
      <c r="Q50">
        <v>686963.49526930496</v>
      </c>
      <c r="S50">
        <v>8707.0059999999994</v>
      </c>
      <c r="T50">
        <v>54679.418435261599</v>
      </c>
      <c r="V50">
        <v>8707.0059999999994</v>
      </c>
      <c r="W50">
        <v>125513.12080060699</v>
      </c>
    </row>
    <row r="51" spans="7:23" x14ac:dyDescent="0.25">
      <c r="G51">
        <v>8708.0059999999994</v>
      </c>
      <c r="H51">
        <v>98418.5966798257</v>
      </c>
      <c r="I51">
        <v>353459.93921017298</v>
      </c>
      <c r="J51">
        <v>451878.53588999802</v>
      </c>
      <c r="K51">
        <v>353578.18773686897</v>
      </c>
      <c r="L51">
        <v>55403.710673250898</v>
      </c>
      <c r="N51">
        <v>8708.0059999999994</v>
      </c>
      <c r="O51">
        <v>644943.07733779994</v>
      </c>
      <c r="P51">
        <v>42111.275931504802</v>
      </c>
      <c r="Q51">
        <v>687054.35326930403</v>
      </c>
      <c r="S51">
        <v>8708.0059999999994</v>
      </c>
      <c r="T51">
        <v>54679.418435261599</v>
      </c>
      <c r="V51">
        <v>8708.0059999999994</v>
      </c>
      <c r="W51">
        <v>125530.079800607</v>
      </c>
    </row>
    <row r="52" spans="7:23" x14ac:dyDescent="0.25">
      <c r="G52">
        <v>8709.0059999999994</v>
      </c>
      <c r="H52">
        <v>98418.5966798257</v>
      </c>
      <c r="I52">
        <v>353532.90921017301</v>
      </c>
      <c r="J52">
        <v>451951.50588999799</v>
      </c>
      <c r="K52">
        <v>353651.15773686901</v>
      </c>
      <c r="L52">
        <v>55403.710673250898</v>
      </c>
      <c r="N52">
        <v>8709.0059999999994</v>
      </c>
      <c r="O52">
        <v>645012.10133780004</v>
      </c>
      <c r="P52">
        <v>42116.110931504802</v>
      </c>
      <c r="Q52">
        <v>687128.21226930397</v>
      </c>
      <c r="S52">
        <v>8709.0059999999994</v>
      </c>
      <c r="T52">
        <v>54679.418435261599</v>
      </c>
      <c r="V52">
        <v>8709.0059999999994</v>
      </c>
      <c r="W52">
        <v>125543.485800607</v>
      </c>
    </row>
    <row r="53" spans="7:23" x14ac:dyDescent="0.25">
      <c r="G53">
        <v>8710.0059999999994</v>
      </c>
      <c r="H53">
        <v>98418.5966798257</v>
      </c>
      <c r="I53">
        <v>353599.76921017299</v>
      </c>
      <c r="J53">
        <v>452018.36588999798</v>
      </c>
      <c r="K53">
        <v>353718.01773686899</v>
      </c>
      <c r="L53">
        <v>55403.710673250898</v>
      </c>
      <c r="N53">
        <v>8710.0059999999994</v>
      </c>
      <c r="O53">
        <v>645073.50033780001</v>
      </c>
      <c r="P53">
        <v>42120.946931504797</v>
      </c>
      <c r="Q53">
        <v>687194.44726930396</v>
      </c>
      <c r="S53">
        <v>8710.0059999999994</v>
      </c>
      <c r="T53">
        <v>54679.418435261599</v>
      </c>
      <c r="V53">
        <v>8710.0059999999994</v>
      </c>
      <c r="W53">
        <v>125554.758800607</v>
      </c>
    </row>
    <row r="54" spans="7:23" x14ac:dyDescent="0.25">
      <c r="G54">
        <v>8711.0059999999994</v>
      </c>
      <c r="H54">
        <v>98418.5966798257</v>
      </c>
      <c r="I54">
        <v>353655.07921017299</v>
      </c>
      <c r="J54">
        <v>452073.67588999798</v>
      </c>
      <c r="K54">
        <v>353773.32773686899</v>
      </c>
      <c r="L54">
        <v>55403.710673250898</v>
      </c>
      <c r="N54">
        <v>8711.0059999999994</v>
      </c>
      <c r="O54">
        <v>645122.23033779999</v>
      </c>
      <c r="P54">
        <v>42125.781931504796</v>
      </c>
      <c r="Q54">
        <v>687248.01226930495</v>
      </c>
      <c r="S54">
        <v>8711.0059999999994</v>
      </c>
      <c r="T54">
        <v>54679.418435261599</v>
      </c>
      <c r="V54">
        <v>8711.0059999999994</v>
      </c>
      <c r="W54">
        <v>125563.690800607</v>
      </c>
    </row>
    <row r="55" spans="7:23" x14ac:dyDescent="0.25">
      <c r="G55">
        <v>8712.0059999999994</v>
      </c>
      <c r="H55">
        <v>98418.5966798257</v>
      </c>
      <c r="I55">
        <v>353698.15921017301</v>
      </c>
      <c r="J55">
        <v>452116.75588999799</v>
      </c>
      <c r="K55">
        <v>353816.40773686901</v>
      </c>
      <c r="L55">
        <v>55403.710673250898</v>
      </c>
      <c r="N55">
        <v>8712.0059999999994</v>
      </c>
      <c r="O55">
        <v>645168.92633779999</v>
      </c>
      <c r="P55">
        <v>42130.616931504803</v>
      </c>
      <c r="Q55">
        <v>687299.54326930398</v>
      </c>
      <c r="S55">
        <v>8712.0059999999994</v>
      </c>
      <c r="T55">
        <v>54679.418435261599</v>
      </c>
      <c r="V55">
        <v>8712.0059999999994</v>
      </c>
      <c r="W55">
        <v>125570.454800607</v>
      </c>
    </row>
    <row r="56" spans="7:23" x14ac:dyDescent="0.25">
      <c r="G56">
        <v>8713.0059999999994</v>
      </c>
      <c r="H56">
        <v>98418.5966798257</v>
      </c>
      <c r="I56">
        <v>353733.32921017299</v>
      </c>
      <c r="J56">
        <v>452151.92588999798</v>
      </c>
      <c r="K56">
        <v>353851.57773686899</v>
      </c>
      <c r="L56">
        <v>55403.710673250898</v>
      </c>
      <c r="N56">
        <v>8713.0059999999994</v>
      </c>
      <c r="O56">
        <v>645206.62833780004</v>
      </c>
      <c r="P56">
        <v>42135.452931504798</v>
      </c>
      <c r="Q56">
        <v>687342.08126930404</v>
      </c>
      <c r="S56">
        <v>8713.0059999999994</v>
      </c>
      <c r="T56">
        <v>54679.418435261599</v>
      </c>
      <c r="V56">
        <v>8713.0059999999994</v>
      </c>
      <c r="W56">
        <v>125575.422800607</v>
      </c>
    </row>
    <row r="57" spans="7:23" x14ac:dyDescent="0.25">
      <c r="G57">
        <v>8714.0059999999994</v>
      </c>
      <c r="H57">
        <v>98418.5966798257</v>
      </c>
      <c r="I57">
        <v>353767.19921017298</v>
      </c>
      <c r="J57">
        <v>452185.79588999797</v>
      </c>
      <c r="K57">
        <v>353885.44773686898</v>
      </c>
      <c r="L57">
        <v>55403.710673250898</v>
      </c>
      <c r="N57">
        <v>8714.0059999999994</v>
      </c>
      <c r="O57">
        <v>645242.6593378</v>
      </c>
      <c r="P57">
        <v>42140.287931504798</v>
      </c>
      <c r="Q57">
        <v>687382.94726930396</v>
      </c>
      <c r="S57">
        <v>8714.0059999999994</v>
      </c>
      <c r="T57">
        <v>54679.418435261599</v>
      </c>
      <c r="V57">
        <v>8714.0059999999994</v>
      </c>
      <c r="W57">
        <v>125580.382800607</v>
      </c>
    </row>
    <row r="58" spans="7:23" x14ac:dyDescent="0.25">
      <c r="G58">
        <v>8715.0059999999994</v>
      </c>
      <c r="H58">
        <v>98418.5966798257</v>
      </c>
      <c r="I58">
        <v>353798.82921017299</v>
      </c>
      <c r="J58">
        <v>452217.42588999798</v>
      </c>
      <c r="K58">
        <v>353917.07773686899</v>
      </c>
      <c r="L58">
        <v>55403.710673250898</v>
      </c>
      <c r="N58">
        <v>8715.0059999999994</v>
      </c>
      <c r="O58">
        <v>645275.45733779995</v>
      </c>
      <c r="P58">
        <v>42145.123931504801</v>
      </c>
      <c r="Q58">
        <v>687420.58126930404</v>
      </c>
      <c r="S58">
        <v>8715.0059999999994</v>
      </c>
      <c r="T58">
        <v>54679.418435261599</v>
      </c>
      <c r="V58">
        <v>8715.0059999999994</v>
      </c>
      <c r="W58">
        <v>125585.516800607</v>
      </c>
    </row>
    <row r="59" spans="7:23" x14ac:dyDescent="0.25">
      <c r="G59">
        <v>8716.0059999999994</v>
      </c>
      <c r="H59">
        <v>98418.5966798257</v>
      </c>
      <c r="I59">
        <v>353829.87921017298</v>
      </c>
      <c r="J59">
        <v>452248.47588999802</v>
      </c>
      <c r="K59">
        <v>353948.12773686898</v>
      </c>
      <c r="L59">
        <v>55403.710673250898</v>
      </c>
      <c r="N59">
        <v>8716.0059999999994</v>
      </c>
      <c r="O59">
        <v>645307.93233780004</v>
      </c>
      <c r="P59">
        <v>42149.9589315048</v>
      </c>
      <c r="Q59">
        <v>687457.89126930397</v>
      </c>
      <c r="S59">
        <v>8716.0059999999994</v>
      </c>
      <c r="T59">
        <v>54679.418435261599</v>
      </c>
      <c r="V59">
        <v>8716.0059999999994</v>
      </c>
      <c r="W59">
        <v>125589.91980060699</v>
      </c>
    </row>
    <row r="60" spans="7:23" x14ac:dyDescent="0.25">
      <c r="G60">
        <v>8717.0059999999994</v>
      </c>
      <c r="H60">
        <v>98418.5966798257</v>
      </c>
      <c r="I60">
        <v>353863.38921017299</v>
      </c>
      <c r="J60">
        <v>452281.98588999797</v>
      </c>
      <c r="K60">
        <v>353981.68773686897</v>
      </c>
      <c r="L60">
        <v>55403.710673250898</v>
      </c>
      <c r="N60">
        <v>8717.0059999999994</v>
      </c>
      <c r="O60">
        <v>645343.75833780004</v>
      </c>
      <c r="P60">
        <v>42154.793931504799</v>
      </c>
      <c r="Q60">
        <v>687498.55326930399</v>
      </c>
      <c r="S60">
        <v>8717.0059999999994</v>
      </c>
      <c r="T60">
        <v>54679.418435261599</v>
      </c>
      <c r="V60">
        <v>8717.0059999999994</v>
      </c>
      <c r="W60">
        <v>125594.474800607</v>
      </c>
    </row>
    <row r="61" spans="7:23" x14ac:dyDescent="0.25">
      <c r="G61">
        <v>8718.0059999999994</v>
      </c>
      <c r="H61">
        <v>98418.5966798257</v>
      </c>
      <c r="I61">
        <v>353904.40921017301</v>
      </c>
      <c r="J61">
        <v>452323.00588999799</v>
      </c>
      <c r="K61">
        <v>354022.70773686899</v>
      </c>
      <c r="L61">
        <v>55403.710673250898</v>
      </c>
      <c r="N61">
        <v>8718.0059999999994</v>
      </c>
      <c r="O61">
        <v>645388.00733779999</v>
      </c>
      <c r="P61">
        <v>42159.629931504802</v>
      </c>
      <c r="Q61">
        <v>687547.63726930495</v>
      </c>
      <c r="S61">
        <v>8718.0059999999994</v>
      </c>
      <c r="T61">
        <v>54679.418435261599</v>
      </c>
      <c r="V61">
        <v>8718.0059999999994</v>
      </c>
      <c r="W61">
        <v>125600.621800607</v>
      </c>
    </row>
    <row r="62" spans="7:23" x14ac:dyDescent="0.25">
      <c r="G62">
        <v>8719.0059999999994</v>
      </c>
      <c r="H62">
        <v>98418.5966798257</v>
      </c>
      <c r="I62">
        <v>353951.74921017297</v>
      </c>
      <c r="J62">
        <v>452370.34588999802</v>
      </c>
      <c r="K62">
        <v>354070.12773686898</v>
      </c>
      <c r="L62">
        <v>55403.710673250898</v>
      </c>
      <c r="N62">
        <v>8719.0059999999994</v>
      </c>
      <c r="O62">
        <v>645439.08933780005</v>
      </c>
      <c r="P62">
        <v>42164.464931504801</v>
      </c>
      <c r="Q62">
        <v>687603.55426930403</v>
      </c>
      <c r="S62">
        <v>8719.0059999999994</v>
      </c>
      <c r="T62">
        <v>54679.418435261599</v>
      </c>
      <c r="V62">
        <v>8719.0059999999994</v>
      </c>
      <c r="W62">
        <v>125609.327800607</v>
      </c>
    </row>
    <row r="63" spans="7:23" x14ac:dyDescent="0.25">
      <c r="G63">
        <v>8720.0059999999994</v>
      </c>
      <c r="H63">
        <v>98418.601679825704</v>
      </c>
      <c r="I63">
        <v>354012.85421017301</v>
      </c>
      <c r="J63">
        <v>452431.455889998</v>
      </c>
      <c r="K63">
        <v>354131.23273686902</v>
      </c>
      <c r="L63">
        <v>55403.710673250898</v>
      </c>
      <c r="N63">
        <v>8720.0059999999994</v>
      </c>
      <c r="O63">
        <v>645505.27833779994</v>
      </c>
      <c r="P63">
        <v>42169.2999315048</v>
      </c>
      <c r="Q63">
        <v>687674.57926930406</v>
      </c>
      <c r="S63">
        <v>8720.0059999999994</v>
      </c>
      <c r="T63">
        <v>54679.418435261599</v>
      </c>
      <c r="V63">
        <v>8720.0059999999994</v>
      </c>
      <c r="W63">
        <v>125622.159800607</v>
      </c>
    </row>
    <row r="64" spans="7:23" x14ac:dyDescent="0.25">
      <c r="G64">
        <v>8721.0059999999994</v>
      </c>
      <c r="H64">
        <v>98419.101679825704</v>
      </c>
      <c r="I64">
        <v>354079.25421017298</v>
      </c>
      <c r="J64">
        <v>452498.35588999803</v>
      </c>
      <c r="K64">
        <v>354197.63273686898</v>
      </c>
      <c r="L64">
        <v>55403.710673250898</v>
      </c>
      <c r="N64">
        <v>8721.0059999999994</v>
      </c>
      <c r="O64">
        <v>645577.79633779998</v>
      </c>
      <c r="P64">
        <v>42174.135931504803</v>
      </c>
      <c r="Q64">
        <v>687751.93226930394</v>
      </c>
      <c r="S64">
        <v>8721.0059999999994</v>
      </c>
      <c r="T64">
        <v>54679.418435261599</v>
      </c>
      <c r="V64">
        <v>8721.0059999999994</v>
      </c>
      <c r="W64">
        <v>125636.015800607</v>
      </c>
    </row>
    <row r="65" spans="7:23" x14ac:dyDescent="0.25">
      <c r="G65">
        <v>8722.0059999999994</v>
      </c>
      <c r="H65">
        <v>98421.058679825699</v>
      </c>
      <c r="I65">
        <v>354140.507210173</v>
      </c>
      <c r="J65">
        <v>452561.56588999799</v>
      </c>
      <c r="K65">
        <v>354258.88573686901</v>
      </c>
      <c r="L65">
        <v>55403.716673250899</v>
      </c>
      <c r="N65">
        <v>8722.0059999999994</v>
      </c>
      <c r="O65">
        <v>645644.69433780003</v>
      </c>
      <c r="P65">
        <v>42178.970931504802</v>
      </c>
      <c r="Q65">
        <v>687823.66526930395</v>
      </c>
      <c r="S65">
        <v>8722.0059999999994</v>
      </c>
      <c r="T65">
        <v>54679.4224352616</v>
      </c>
      <c r="V65">
        <v>8722.0059999999994</v>
      </c>
      <c r="W65">
        <v>125648.530800607</v>
      </c>
    </row>
    <row r="66" spans="7:23" x14ac:dyDescent="0.25">
      <c r="G66">
        <v>8723.0059999999994</v>
      </c>
      <c r="H66">
        <v>98424.238679825707</v>
      </c>
      <c r="I66">
        <v>354201.48721017299</v>
      </c>
      <c r="J66">
        <v>452625.72588999802</v>
      </c>
      <c r="K66">
        <v>354319.86573686899</v>
      </c>
      <c r="L66">
        <v>55403.736673250904</v>
      </c>
      <c r="N66">
        <v>8723.0059999999994</v>
      </c>
      <c r="O66">
        <v>645711.3383378</v>
      </c>
      <c r="P66">
        <v>42183.806931504798</v>
      </c>
      <c r="Q66">
        <v>687895.144269304</v>
      </c>
      <c r="S66">
        <v>8723.0059999999994</v>
      </c>
      <c r="T66">
        <v>54679.435435261599</v>
      </c>
      <c r="V66">
        <v>8723.0059999999994</v>
      </c>
      <c r="W66">
        <v>125661.27180060701</v>
      </c>
    </row>
    <row r="67" spans="7:23" x14ac:dyDescent="0.25">
      <c r="G67">
        <v>8724.0059999999994</v>
      </c>
      <c r="H67">
        <v>98427.618679825697</v>
      </c>
      <c r="I67">
        <v>354261.29721017298</v>
      </c>
      <c r="J67">
        <v>452688.91588999802</v>
      </c>
      <c r="K67">
        <v>354379.67573686899</v>
      </c>
      <c r="L67">
        <v>55403.760673250901</v>
      </c>
      <c r="N67">
        <v>8724.0059999999994</v>
      </c>
      <c r="O67">
        <v>645777.64133779996</v>
      </c>
      <c r="P67">
        <v>42188.641931504797</v>
      </c>
      <c r="Q67">
        <v>687966.28326930397</v>
      </c>
      <c r="S67">
        <v>8724.0059999999994</v>
      </c>
      <c r="T67">
        <v>54679.452435261599</v>
      </c>
      <c r="V67">
        <v>8724.0059999999994</v>
      </c>
      <c r="W67">
        <v>125674.16580060701</v>
      </c>
    </row>
    <row r="68" spans="7:23" x14ac:dyDescent="0.25">
      <c r="G68">
        <v>8725.0059999999994</v>
      </c>
      <c r="H68">
        <v>98430.483679825702</v>
      </c>
      <c r="I68">
        <v>354325.08221017302</v>
      </c>
      <c r="J68">
        <v>452755.56588999799</v>
      </c>
      <c r="K68">
        <v>354443.46073686902</v>
      </c>
      <c r="L68">
        <v>55403.760673250901</v>
      </c>
      <c r="N68">
        <v>8725.0059999999994</v>
      </c>
      <c r="O68">
        <v>645848.54033780005</v>
      </c>
      <c r="P68">
        <v>42193.476931504803</v>
      </c>
      <c r="Q68">
        <v>688042.01826930395</v>
      </c>
      <c r="S68">
        <v>8725.0059999999994</v>
      </c>
      <c r="T68">
        <v>54679.452435261599</v>
      </c>
      <c r="V68">
        <v>8725.0059999999994</v>
      </c>
      <c r="W68">
        <v>125688.872800607</v>
      </c>
    </row>
    <row r="69" spans="7:23" x14ac:dyDescent="0.25">
      <c r="G69">
        <v>8726.0059999999994</v>
      </c>
      <c r="H69">
        <v>98432.087679825694</v>
      </c>
      <c r="I69">
        <v>354386.86821017298</v>
      </c>
      <c r="J69">
        <v>452818.955889998</v>
      </c>
      <c r="K69">
        <v>354505.24673686898</v>
      </c>
      <c r="L69">
        <v>55403.760673250901</v>
      </c>
      <c r="N69">
        <v>8726.0059999999994</v>
      </c>
      <c r="O69">
        <v>645917.58633780002</v>
      </c>
      <c r="P69">
        <v>42198.312931504799</v>
      </c>
      <c r="Q69">
        <v>688115.89926930401</v>
      </c>
      <c r="S69">
        <v>8726.0059999999994</v>
      </c>
      <c r="T69">
        <v>54679.452435261599</v>
      </c>
      <c r="V69">
        <v>8726.0059999999994</v>
      </c>
      <c r="W69">
        <v>125704.008800607</v>
      </c>
    </row>
    <row r="70" spans="7:23" x14ac:dyDescent="0.25">
      <c r="G70">
        <v>8727.0059999999994</v>
      </c>
      <c r="H70">
        <v>98432.316679825701</v>
      </c>
      <c r="I70">
        <v>354464.12921017298</v>
      </c>
      <c r="J70">
        <v>452896.44588999799</v>
      </c>
      <c r="K70">
        <v>354582.50773686898</v>
      </c>
      <c r="L70">
        <v>55403.760673250901</v>
      </c>
      <c r="N70">
        <v>8727.0059999999994</v>
      </c>
      <c r="O70">
        <v>646003.17733780004</v>
      </c>
      <c r="P70">
        <v>42203.147931504798</v>
      </c>
      <c r="Q70">
        <v>688206.32526930398</v>
      </c>
      <c r="S70">
        <v>8727.0059999999994</v>
      </c>
      <c r="T70">
        <v>54679.452435261599</v>
      </c>
      <c r="V70">
        <v>8727.0059999999994</v>
      </c>
      <c r="W70">
        <v>125725.79080060701</v>
      </c>
    </row>
    <row r="71" spans="7:23" x14ac:dyDescent="0.25">
      <c r="G71">
        <v>8728.0059999999994</v>
      </c>
      <c r="H71">
        <v>98432.317679825705</v>
      </c>
      <c r="I71">
        <v>354548.83821017301</v>
      </c>
      <c r="J71">
        <v>452981.15588999802</v>
      </c>
      <c r="K71">
        <v>354667.21673686901</v>
      </c>
      <c r="L71">
        <v>55403.760673250901</v>
      </c>
      <c r="N71">
        <v>8728.0059999999994</v>
      </c>
      <c r="O71">
        <v>646102.51633779996</v>
      </c>
      <c r="P71">
        <v>42207.982931504797</v>
      </c>
      <c r="Q71">
        <v>688310.49926930398</v>
      </c>
      <c r="S71">
        <v>8728.0059999999994</v>
      </c>
      <c r="T71">
        <v>54679.452435261599</v>
      </c>
      <c r="V71">
        <v>8728.0059999999994</v>
      </c>
      <c r="W71">
        <v>125751.103800607</v>
      </c>
    </row>
    <row r="72" spans="7:23" x14ac:dyDescent="0.25">
      <c r="G72">
        <v>8729.0059999999994</v>
      </c>
      <c r="H72">
        <v>98432.317679825705</v>
      </c>
      <c r="I72">
        <v>354657.62821017299</v>
      </c>
      <c r="J72">
        <v>453089.94588999799</v>
      </c>
      <c r="K72">
        <v>354776.00673686899</v>
      </c>
      <c r="L72">
        <v>55403.760673250901</v>
      </c>
      <c r="N72">
        <v>8729.0059999999994</v>
      </c>
      <c r="O72">
        <v>646236.5883378</v>
      </c>
      <c r="P72">
        <v>42212.8189315048</v>
      </c>
      <c r="Q72">
        <v>688449.40726930404</v>
      </c>
      <c r="S72">
        <v>8729.0059999999994</v>
      </c>
      <c r="T72">
        <v>54679.452435261599</v>
      </c>
      <c r="V72">
        <v>8729.0059999999994</v>
      </c>
      <c r="W72">
        <v>125785.341800607</v>
      </c>
    </row>
    <row r="73" spans="7:23" x14ac:dyDescent="0.25">
      <c r="G73">
        <v>8730.0059999999994</v>
      </c>
      <c r="H73">
        <v>98432.317679825705</v>
      </c>
      <c r="I73">
        <v>354763.448210173</v>
      </c>
      <c r="J73">
        <v>453195.765889998</v>
      </c>
      <c r="K73">
        <v>354881.826736869</v>
      </c>
      <c r="L73">
        <v>55403.760673250901</v>
      </c>
      <c r="N73">
        <v>8730.0059999999994</v>
      </c>
      <c r="O73">
        <v>646364.15833779995</v>
      </c>
      <c r="P73">
        <v>42217.653931504799</v>
      </c>
      <c r="Q73">
        <v>688581.81226930395</v>
      </c>
      <c r="S73">
        <v>8730.0059999999994</v>
      </c>
      <c r="T73">
        <v>54679.452435261599</v>
      </c>
      <c r="V73">
        <v>8730.0059999999994</v>
      </c>
      <c r="W73">
        <v>125817.160800607</v>
      </c>
    </row>
    <row r="74" spans="7:23" x14ac:dyDescent="0.25">
      <c r="G74">
        <v>8731.0059999999994</v>
      </c>
      <c r="H74">
        <v>98432.317679825705</v>
      </c>
      <c r="I74">
        <v>354852.25821017299</v>
      </c>
      <c r="J74">
        <v>453284.575889998</v>
      </c>
      <c r="K74">
        <v>354970.636736869</v>
      </c>
      <c r="L74">
        <v>55403.760673250901</v>
      </c>
      <c r="N74">
        <v>8731.0059999999994</v>
      </c>
      <c r="O74">
        <v>646469.83033779997</v>
      </c>
      <c r="P74">
        <v>42222.489931504802</v>
      </c>
      <c r="Q74">
        <v>688692.31926930405</v>
      </c>
      <c r="S74">
        <v>8731.0059999999994</v>
      </c>
      <c r="T74">
        <v>54679.452435261599</v>
      </c>
      <c r="V74">
        <v>8731.0059999999994</v>
      </c>
      <c r="W74">
        <v>125842.350800607</v>
      </c>
    </row>
    <row r="75" spans="7:23" x14ac:dyDescent="0.25">
      <c r="G75">
        <v>8732.0059999999994</v>
      </c>
      <c r="H75">
        <v>98432.317679825705</v>
      </c>
      <c r="I75">
        <v>354941.85821017303</v>
      </c>
      <c r="J75">
        <v>453374.17588999798</v>
      </c>
      <c r="K75">
        <v>355060.23673686897</v>
      </c>
      <c r="L75">
        <v>55403.760673250901</v>
      </c>
      <c r="N75">
        <v>8732.0059999999994</v>
      </c>
      <c r="O75">
        <v>646576.24233779998</v>
      </c>
      <c r="P75">
        <v>42227.324931504801</v>
      </c>
      <c r="Q75">
        <v>688803.56726930395</v>
      </c>
      <c r="S75">
        <v>8732.0059999999994</v>
      </c>
      <c r="T75">
        <v>54679.452435261599</v>
      </c>
      <c r="V75">
        <v>8732.0059999999994</v>
      </c>
      <c r="W75">
        <v>125863.200800607</v>
      </c>
    </row>
    <row r="76" spans="7:23" x14ac:dyDescent="0.25">
      <c r="G76">
        <v>8733.0059999999994</v>
      </c>
      <c r="H76">
        <v>98432.317679825705</v>
      </c>
      <c r="I76">
        <v>355025.66821017303</v>
      </c>
      <c r="J76">
        <v>453457.98588999797</v>
      </c>
      <c r="K76">
        <v>355144.04673686897</v>
      </c>
      <c r="L76">
        <v>55403.760673250901</v>
      </c>
      <c r="N76">
        <v>8733.0059999999994</v>
      </c>
      <c r="O76">
        <v>646676.09033779998</v>
      </c>
      <c r="P76">
        <v>42232.159931504801</v>
      </c>
      <c r="Q76">
        <v>688908.25026930496</v>
      </c>
      <c r="S76">
        <v>8733.0059999999994</v>
      </c>
      <c r="T76">
        <v>54679.452435261599</v>
      </c>
      <c r="V76">
        <v>8733.0059999999994</v>
      </c>
      <c r="W76">
        <v>125882.916800607</v>
      </c>
    </row>
    <row r="77" spans="7:23" x14ac:dyDescent="0.25">
      <c r="G77">
        <v>8734.0059999999994</v>
      </c>
      <c r="H77">
        <v>98432.317679825705</v>
      </c>
      <c r="I77">
        <v>355096.67821017298</v>
      </c>
      <c r="J77">
        <v>453528.99588999798</v>
      </c>
      <c r="K77">
        <v>355215.05673686898</v>
      </c>
      <c r="L77">
        <v>55403.760673250901</v>
      </c>
      <c r="N77">
        <v>8734.0059999999994</v>
      </c>
      <c r="O77">
        <v>646754.9143378</v>
      </c>
      <c r="P77">
        <v>42236.995931504804</v>
      </c>
      <c r="Q77">
        <v>688991.91026930395</v>
      </c>
      <c r="S77">
        <v>8734.0059999999994</v>
      </c>
      <c r="T77">
        <v>54679.452435261599</v>
      </c>
      <c r="V77">
        <v>8734.0059999999994</v>
      </c>
      <c r="W77">
        <v>125897.553800607</v>
      </c>
    </row>
    <row r="78" spans="7:23" x14ac:dyDescent="0.25">
      <c r="G78">
        <v>8735.0059999999994</v>
      </c>
      <c r="H78">
        <v>98432.317679825705</v>
      </c>
      <c r="I78">
        <v>355155.328210173</v>
      </c>
      <c r="J78">
        <v>453587.64588999801</v>
      </c>
      <c r="K78">
        <v>355273.706736869</v>
      </c>
      <c r="L78">
        <v>55403.760673250901</v>
      </c>
      <c r="N78">
        <v>8735.0059999999994</v>
      </c>
      <c r="O78">
        <v>646818.35633780004</v>
      </c>
      <c r="P78">
        <v>42241.830931504803</v>
      </c>
      <c r="Q78">
        <v>689060.18726930395</v>
      </c>
      <c r="S78">
        <v>8735.0059999999994</v>
      </c>
      <c r="T78">
        <v>54679.452435261599</v>
      </c>
      <c r="V78">
        <v>8735.0059999999994</v>
      </c>
      <c r="W78">
        <v>125909.683800607</v>
      </c>
    </row>
    <row r="79" spans="7:23" x14ac:dyDescent="0.25">
      <c r="G79">
        <v>8736.0059999999994</v>
      </c>
      <c r="H79">
        <v>98432.317679825705</v>
      </c>
      <c r="I79">
        <v>355200.05821017298</v>
      </c>
      <c r="J79">
        <v>453632.37588999799</v>
      </c>
      <c r="K79">
        <v>355318.43673686899</v>
      </c>
      <c r="L79">
        <v>55403.760673250901</v>
      </c>
      <c r="N79">
        <v>8736.0059999999994</v>
      </c>
      <c r="O79">
        <v>646868.54233780003</v>
      </c>
      <c r="P79">
        <v>42246.665931504802</v>
      </c>
      <c r="Q79">
        <v>689115.20926930394</v>
      </c>
      <c r="S79">
        <v>8736.0059999999994</v>
      </c>
      <c r="T79">
        <v>54679.452435261599</v>
      </c>
      <c r="V79">
        <v>8736.0059999999994</v>
      </c>
      <c r="W79">
        <v>125918.24180060699</v>
      </c>
    </row>
    <row r="80" spans="7:23" x14ac:dyDescent="0.25">
      <c r="G80">
        <v>8737.0059999999994</v>
      </c>
      <c r="H80">
        <v>98432.317679825705</v>
      </c>
      <c r="I80">
        <v>355236.59821017302</v>
      </c>
      <c r="J80">
        <v>453668.91588999802</v>
      </c>
      <c r="K80">
        <v>355354.97673686902</v>
      </c>
      <c r="L80">
        <v>55403.760673250901</v>
      </c>
      <c r="N80">
        <v>8737.0059999999994</v>
      </c>
      <c r="O80">
        <v>646907.74133780005</v>
      </c>
      <c r="P80">
        <v>42251.501931504798</v>
      </c>
      <c r="Q80">
        <v>689159.242269304</v>
      </c>
      <c r="S80">
        <v>8737.0059999999994</v>
      </c>
      <c r="T80">
        <v>54679.452435261599</v>
      </c>
      <c r="V80">
        <v>8737.0059999999994</v>
      </c>
      <c r="W80">
        <v>125924.977800607</v>
      </c>
    </row>
    <row r="81" spans="7:23" x14ac:dyDescent="0.25">
      <c r="G81">
        <v>8738.0059999999994</v>
      </c>
      <c r="H81">
        <v>98432.317679825705</v>
      </c>
      <c r="I81">
        <v>355270.138210173</v>
      </c>
      <c r="J81">
        <v>453702.455889998</v>
      </c>
      <c r="K81">
        <v>355388.516736869</v>
      </c>
      <c r="L81">
        <v>55403.760673250901</v>
      </c>
      <c r="N81">
        <v>8738.0059999999994</v>
      </c>
      <c r="O81">
        <v>646942.82033779996</v>
      </c>
      <c r="P81">
        <v>42256.336931504797</v>
      </c>
      <c r="Q81">
        <v>689199.15726930404</v>
      </c>
      <c r="S81">
        <v>8738.0059999999994</v>
      </c>
      <c r="T81">
        <v>54679.452435261599</v>
      </c>
      <c r="V81">
        <v>8738.0059999999994</v>
      </c>
      <c r="W81">
        <v>125931.21880060701</v>
      </c>
    </row>
    <row r="82" spans="7:23" x14ac:dyDescent="0.25">
      <c r="G82">
        <v>8739.0059999999994</v>
      </c>
      <c r="H82">
        <v>98432.317679825705</v>
      </c>
      <c r="I82">
        <v>355299.65821017302</v>
      </c>
      <c r="J82">
        <v>453731.97588999802</v>
      </c>
      <c r="K82">
        <v>355418.03673686902</v>
      </c>
      <c r="L82">
        <v>55403.760673250901</v>
      </c>
      <c r="N82">
        <v>8739.0059999999994</v>
      </c>
      <c r="O82">
        <v>646973.69433780003</v>
      </c>
      <c r="P82">
        <v>42261.1729315048</v>
      </c>
      <c r="Q82">
        <v>689234.867269304</v>
      </c>
      <c r="S82">
        <v>8739.0059999999994</v>
      </c>
      <c r="T82">
        <v>54679.452435261599</v>
      </c>
      <c r="V82">
        <v>8739.0059999999994</v>
      </c>
      <c r="W82">
        <v>125936.689800607</v>
      </c>
    </row>
    <row r="83" spans="7:23" x14ac:dyDescent="0.25">
      <c r="G83">
        <v>8740.0059999999994</v>
      </c>
      <c r="H83">
        <v>98432.317679825705</v>
      </c>
      <c r="I83">
        <v>355328.61821017298</v>
      </c>
      <c r="J83">
        <v>453760.93588999799</v>
      </c>
      <c r="K83">
        <v>355446.99673686898</v>
      </c>
      <c r="L83">
        <v>55403.760673250901</v>
      </c>
      <c r="N83">
        <v>8740.0059999999994</v>
      </c>
      <c r="O83">
        <v>647005.49633780005</v>
      </c>
      <c r="P83">
        <v>42266.007931504799</v>
      </c>
      <c r="Q83">
        <v>689271.50426930399</v>
      </c>
      <c r="S83">
        <v>8740.0059999999994</v>
      </c>
      <c r="T83">
        <v>54679.452435261599</v>
      </c>
      <c r="V83">
        <v>8740.0059999999994</v>
      </c>
      <c r="W83">
        <v>125941.96880060701</v>
      </c>
    </row>
    <row r="84" spans="7:23" x14ac:dyDescent="0.25">
      <c r="G84">
        <v>8741.0059999999994</v>
      </c>
      <c r="H84">
        <v>98432.317679825705</v>
      </c>
      <c r="I84">
        <v>355359.518210173</v>
      </c>
      <c r="J84">
        <v>453791.83588999801</v>
      </c>
      <c r="K84">
        <v>355477.89673686901</v>
      </c>
      <c r="L84">
        <v>55403.760673250901</v>
      </c>
      <c r="N84">
        <v>8741.0059999999994</v>
      </c>
      <c r="O84">
        <v>647039.91233780002</v>
      </c>
      <c r="P84">
        <v>42270.842931504798</v>
      </c>
      <c r="Q84">
        <v>689310.75526930403</v>
      </c>
      <c r="S84">
        <v>8741.0059999999994</v>
      </c>
      <c r="T84">
        <v>54679.452435261599</v>
      </c>
      <c r="V84">
        <v>8741.0059999999994</v>
      </c>
      <c r="W84">
        <v>125947.61280060701</v>
      </c>
    </row>
    <row r="85" spans="7:23" x14ac:dyDescent="0.25">
      <c r="G85">
        <v>8742.0059999999994</v>
      </c>
      <c r="H85">
        <v>98432.317679825705</v>
      </c>
      <c r="I85">
        <v>355396.42821017298</v>
      </c>
      <c r="J85">
        <v>453828.74588999798</v>
      </c>
      <c r="K85">
        <v>355514.80673686898</v>
      </c>
      <c r="L85">
        <v>55403.760673250901</v>
      </c>
      <c r="N85">
        <v>8742.0059999999994</v>
      </c>
      <c r="O85">
        <v>647082.45333779999</v>
      </c>
      <c r="P85">
        <v>42275.678931504801</v>
      </c>
      <c r="Q85">
        <v>689358.13226930494</v>
      </c>
      <c r="S85">
        <v>8742.0059999999994</v>
      </c>
      <c r="T85">
        <v>54679.452435261599</v>
      </c>
      <c r="V85">
        <v>8742.0059999999994</v>
      </c>
      <c r="W85">
        <v>125954.412800607</v>
      </c>
    </row>
    <row r="86" spans="7:23" x14ac:dyDescent="0.25">
      <c r="G86">
        <v>8743.0059999999994</v>
      </c>
      <c r="H86">
        <v>98432.317679825705</v>
      </c>
      <c r="I86">
        <v>355441.65821017302</v>
      </c>
      <c r="J86">
        <v>453873.97588999802</v>
      </c>
      <c r="K86">
        <v>355560.03673686902</v>
      </c>
      <c r="L86">
        <v>55403.760673250901</v>
      </c>
      <c r="N86">
        <v>8743.0059999999994</v>
      </c>
      <c r="O86">
        <v>647136.37233779998</v>
      </c>
      <c r="P86">
        <v>42280.5139315048</v>
      </c>
      <c r="Q86">
        <v>689416.88626930397</v>
      </c>
      <c r="S86">
        <v>8743.0059999999994</v>
      </c>
      <c r="T86">
        <v>54679.452435261599</v>
      </c>
      <c r="V86">
        <v>8743.0059999999994</v>
      </c>
      <c r="W86">
        <v>125963.027800607</v>
      </c>
    </row>
    <row r="87" spans="7:23" x14ac:dyDescent="0.25">
      <c r="G87">
        <v>8744.0059999999994</v>
      </c>
      <c r="H87">
        <v>98432.317679825705</v>
      </c>
      <c r="I87">
        <v>355497.98821017297</v>
      </c>
      <c r="J87">
        <v>453930.30588999798</v>
      </c>
      <c r="K87">
        <v>355616.36673686898</v>
      </c>
      <c r="L87">
        <v>55403.760673250901</v>
      </c>
      <c r="N87">
        <v>8744.0059999999994</v>
      </c>
      <c r="O87">
        <v>647205.58233779995</v>
      </c>
      <c r="P87">
        <v>42285.348931504799</v>
      </c>
      <c r="Q87">
        <v>689490.93226930394</v>
      </c>
      <c r="S87">
        <v>8744.0059999999994</v>
      </c>
      <c r="T87">
        <v>54679.452435261599</v>
      </c>
      <c r="V87">
        <v>8744.0059999999994</v>
      </c>
      <c r="W87">
        <v>125975.459800607</v>
      </c>
    </row>
    <row r="88" spans="7:23" x14ac:dyDescent="0.25">
      <c r="G88">
        <v>8745.0059999999994</v>
      </c>
      <c r="H88">
        <v>98432.317679825705</v>
      </c>
      <c r="I88">
        <v>355557.29821017297</v>
      </c>
      <c r="J88">
        <v>453989.61588999798</v>
      </c>
      <c r="K88">
        <v>355675.67673686898</v>
      </c>
      <c r="L88">
        <v>55403.760673250901</v>
      </c>
      <c r="N88">
        <v>8745.0059999999994</v>
      </c>
      <c r="O88">
        <v>647278.58733779995</v>
      </c>
      <c r="P88">
        <v>42290.184931504802</v>
      </c>
      <c r="Q88">
        <v>689568.77226930496</v>
      </c>
      <c r="S88">
        <v>8745.0059999999994</v>
      </c>
      <c r="T88">
        <v>54679.452435261599</v>
      </c>
      <c r="V88">
        <v>8745.0059999999994</v>
      </c>
      <c r="W88">
        <v>125988.800800607</v>
      </c>
    </row>
    <row r="89" spans="7:23" x14ac:dyDescent="0.25">
      <c r="G89">
        <v>8746.0059999999994</v>
      </c>
      <c r="H89">
        <v>98432.317679825705</v>
      </c>
      <c r="I89">
        <v>355616.11821017298</v>
      </c>
      <c r="J89">
        <v>454048.43588999799</v>
      </c>
      <c r="K89">
        <v>355734.49673686898</v>
      </c>
      <c r="L89">
        <v>55403.760673250901</v>
      </c>
      <c r="N89">
        <v>8746.0059999999994</v>
      </c>
      <c r="O89">
        <v>647351.51533780003</v>
      </c>
      <c r="P89">
        <v>42295.019931504801</v>
      </c>
      <c r="Q89">
        <v>689646.53526930395</v>
      </c>
      <c r="S89">
        <v>8746.0059999999994</v>
      </c>
      <c r="T89">
        <v>54679.452435261599</v>
      </c>
      <c r="V89">
        <v>8746.0059999999994</v>
      </c>
      <c r="W89">
        <v>126001.777800607</v>
      </c>
    </row>
    <row r="90" spans="7:23" x14ac:dyDescent="0.25">
      <c r="G90">
        <v>8747.0059999999994</v>
      </c>
      <c r="H90">
        <v>98432.317679825705</v>
      </c>
      <c r="I90">
        <v>355679.39821017301</v>
      </c>
      <c r="J90">
        <v>454111.71588999801</v>
      </c>
      <c r="K90">
        <v>355797.77673686901</v>
      </c>
      <c r="L90">
        <v>55403.760673250901</v>
      </c>
      <c r="N90">
        <v>8747.0059999999994</v>
      </c>
      <c r="O90">
        <v>647429.45433780004</v>
      </c>
      <c r="P90">
        <v>42299.855931504797</v>
      </c>
      <c r="Q90">
        <v>689729.30926930404</v>
      </c>
      <c r="S90">
        <v>8747.0059999999994</v>
      </c>
      <c r="T90">
        <v>54679.452435261599</v>
      </c>
      <c r="V90">
        <v>8747.0059999999994</v>
      </c>
      <c r="W90">
        <v>126015.784800607</v>
      </c>
    </row>
    <row r="91" spans="7:23" x14ac:dyDescent="0.25">
      <c r="G91">
        <v>8748.0059999999994</v>
      </c>
      <c r="H91">
        <v>98436.9716798257</v>
      </c>
      <c r="I91">
        <v>355743.00421017298</v>
      </c>
      <c r="J91">
        <v>454179.97588999802</v>
      </c>
      <c r="K91">
        <v>355861.38273686898</v>
      </c>
      <c r="L91">
        <v>55403.919673250901</v>
      </c>
      <c r="N91">
        <v>8748.0059999999994</v>
      </c>
      <c r="O91">
        <v>647507.03533780004</v>
      </c>
      <c r="P91">
        <v>42304.690931504803</v>
      </c>
      <c r="Q91">
        <v>689811.72626930405</v>
      </c>
      <c r="S91">
        <v>8748.0059999999994</v>
      </c>
      <c r="T91">
        <v>54679.569435261597</v>
      </c>
      <c r="V91">
        <v>8748.0059999999994</v>
      </c>
      <c r="W91">
        <v>126029.689800607</v>
      </c>
    </row>
    <row r="92" spans="7:23" x14ac:dyDescent="0.25">
      <c r="G92">
        <v>8749.0059999999994</v>
      </c>
      <c r="H92">
        <v>98439.334679825697</v>
      </c>
      <c r="I92">
        <v>355808.611210173</v>
      </c>
      <c r="J92">
        <v>454247.94588999799</v>
      </c>
      <c r="K92">
        <v>355926.989736869</v>
      </c>
      <c r="L92">
        <v>55403.919673250901</v>
      </c>
      <c r="N92">
        <v>8749.0059999999994</v>
      </c>
      <c r="O92">
        <v>647586.61633780005</v>
      </c>
      <c r="P92">
        <v>42309.525931504802</v>
      </c>
      <c r="Q92">
        <v>689896.14226930495</v>
      </c>
      <c r="S92">
        <v>8749.0059999999994</v>
      </c>
      <c r="T92">
        <v>54679.569435261597</v>
      </c>
      <c r="V92">
        <v>8749.0059999999994</v>
      </c>
      <c r="W92">
        <v>126043.594800607</v>
      </c>
    </row>
    <row r="93" spans="7:23" x14ac:dyDescent="0.25">
      <c r="G93">
        <v>8750.0059999999994</v>
      </c>
      <c r="H93">
        <v>98442.837679825694</v>
      </c>
      <c r="I93">
        <v>355875.55821017298</v>
      </c>
      <c r="J93">
        <v>454318.39588999801</v>
      </c>
      <c r="K93">
        <v>355993.93673686899</v>
      </c>
      <c r="L93">
        <v>55403.945673250899</v>
      </c>
      <c r="N93">
        <v>8750.0059999999994</v>
      </c>
      <c r="O93">
        <v>647667.72333780001</v>
      </c>
      <c r="P93">
        <v>42314.361931504798</v>
      </c>
      <c r="Q93">
        <v>689982.08426930394</v>
      </c>
      <c r="S93">
        <v>8750.0059999999994</v>
      </c>
      <c r="T93">
        <v>54679.589435261601</v>
      </c>
      <c r="V93">
        <v>8750.0059999999994</v>
      </c>
      <c r="W93">
        <v>126057.71880060701</v>
      </c>
    </row>
    <row r="94" spans="7:23" x14ac:dyDescent="0.25">
      <c r="G94">
        <v>8751.0059999999994</v>
      </c>
      <c r="H94">
        <v>98446.013679825701</v>
      </c>
      <c r="I94">
        <v>355947.03221017303</v>
      </c>
      <c r="J94">
        <v>454393.04588999797</v>
      </c>
      <c r="K94">
        <v>356065.41073686897</v>
      </c>
      <c r="L94">
        <v>55403.948673250903</v>
      </c>
      <c r="N94">
        <v>8751.0059999999994</v>
      </c>
      <c r="O94">
        <v>647755.43433780002</v>
      </c>
      <c r="P94">
        <v>42319.196931504797</v>
      </c>
      <c r="Q94">
        <v>690074.63126930397</v>
      </c>
      <c r="S94">
        <v>8751.0059999999994</v>
      </c>
      <c r="T94">
        <v>54679.591435261602</v>
      </c>
      <c r="V94">
        <v>8751.0059999999994</v>
      </c>
      <c r="W94">
        <v>126071.69980060701</v>
      </c>
    </row>
    <row r="95" spans="7:23" x14ac:dyDescent="0.25">
      <c r="G95">
        <v>8752.0059999999994</v>
      </c>
      <c r="H95">
        <v>98449.188679825704</v>
      </c>
      <c r="I95">
        <v>356032.82721017301</v>
      </c>
      <c r="J95">
        <v>454482.015889998</v>
      </c>
      <c r="K95">
        <v>356151.20573686901</v>
      </c>
      <c r="L95">
        <v>55403.948673250903</v>
      </c>
      <c r="N95">
        <v>8752.0059999999994</v>
      </c>
      <c r="O95">
        <v>647862.51033780002</v>
      </c>
      <c r="P95">
        <v>42324.031931504796</v>
      </c>
      <c r="Q95">
        <v>690186.54226930405</v>
      </c>
      <c r="S95">
        <v>8752.0059999999994</v>
      </c>
      <c r="T95">
        <v>54679.591435261602</v>
      </c>
      <c r="V95">
        <v>8752.0059999999994</v>
      </c>
      <c r="W95">
        <v>126088.47980060701</v>
      </c>
    </row>
    <row r="96" spans="7:23" x14ac:dyDescent="0.25">
      <c r="G96">
        <v>8753.0059999999994</v>
      </c>
      <c r="H96">
        <v>98452.364679825696</v>
      </c>
      <c r="I96">
        <v>356139.22121017298</v>
      </c>
      <c r="J96">
        <v>454591.58588999801</v>
      </c>
      <c r="K96">
        <v>356257.59973686899</v>
      </c>
      <c r="L96">
        <v>55403.9516732509</v>
      </c>
      <c r="N96">
        <v>8753.0059999999994</v>
      </c>
      <c r="O96">
        <v>647995.45533779997</v>
      </c>
      <c r="P96">
        <v>42328.867931504799</v>
      </c>
      <c r="Q96">
        <v>690324.323269304</v>
      </c>
      <c r="S96">
        <v>8753.0059999999994</v>
      </c>
      <c r="T96">
        <v>54679.593435261602</v>
      </c>
      <c r="V96">
        <v>8753.0059999999994</v>
      </c>
      <c r="W96">
        <v>126109.82880060701</v>
      </c>
    </row>
    <row r="97" spans="7:23" x14ac:dyDescent="0.25">
      <c r="G97">
        <v>8754.0059999999994</v>
      </c>
      <c r="H97">
        <v>98455.540679825703</v>
      </c>
      <c r="I97">
        <v>356244.27521017299</v>
      </c>
      <c r="J97">
        <v>454699.81588999799</v>
      </c>
      <c r="K97">
        <v>356362.65373686899</v>
      </c>
      <c r="L97">
        <v>55403.9516732509</v>
      </c>
      <c r="N97">
        <v>8754.0059999999994</v>
      </c>
      <c r="O97">
        <v>648124.45333779999</v>
      </c>
      <c r="P97">
        <v>42333.702931504798</v>
      </c>
      <c r="Q97">
        <v>690458.15626930399</v>
      </c>
      <c r="S97">
        <v>8754.0059999999994</v>
      </c>
      <c r="T97">
        <v>54679.593435261602</v>
      </c>
      <c r="V97">
        <v>8754.0059999999994</v>
      </c>
      <c r="W97">
        <v>126130.133800607</v>
      </c>
    </row>
    <row r="98" spans="7:23" x14ac:dyDescent="0.25">
      <c r="G98">
        <v>8755.0059999999994</v>
      </c>
      <c r="H98">
        <v>98458.715679825706</v>
      </c>
      <c r="I98">
        <v>356326.72021017299</v>
      </c>
      <c r="J98">
        <v>454785.43588999799</v>
      </c>
      <c r="K98">
        <v>356445.098736869</v>
      </c>
      <c r="L98">
        <v>55403.9516732509</v>
      </c>
      <c r="N98">
        <v>8755.0059999999994</v>
      </c>
      <c r="O98">
        <v>648223.10433779994</v>
      </c>
      <c r="P98">
        <v>42338.538931504801</v>
      </c>
      <c r="Q98">
        <v>690561.64326930395</v>
      </c>
      <c r="S98">
        <v>8755.0059999999994</v>
      </c>
      <c r="T98">
        <v>54679.593435261602</v>
      </c>
      <c r="V98">
        <v>8755.0059999999994</v>
      </c>
      <c r="W98">
        <v>126144.361800607</v>
      </c>
    </row>
    <row r="99" spans="7:23" x14ac:dyDescent="0.25">
      <c r="G99">
        <v>8756.0059999999994</v>
      </c>
      <c r="H99">
        <v>98461.891679825698</v>
      </c>
      <c r="I99">
        <v>356414.87421017297</v>
      </c>
      <c r="J99">
        <v>454876.765889998</v>
      </c>
      <c r="K99">
        <v>356533.28273686901</v>
      </c>
      <c r="L99">
        <v>55403.9516732509</v>
      </c>
      <c r="N99">
        <v>8756.0059999999994</v>
      </c>
      <c r="O99">
        <v>648326.19033779996</v>
      </c>
      <c r="P99">
        <v>42343.373931504801</v>
      </c>
      <c r="Q99">
        <v>690669.56426930404</v>
      </c>
      <c r="S99">
        <v>8756.0059999999994</v>
      </c>
      <c r="T99">
        <v>54679.593435261602</v>
      </c>
      <c r="V99">
        <v>8756.0059999999994</v>
      </c>
      <c r="W99">
        <v>126159.144800607</v>
      </c>
    </row>
    <row r="100" spans="7:23" x14ac:dyDescent="0.25">
      <c r="G100">
        <v>8757.0059999999994</v>
      </c>
      <c r="H100">
        <v>98463.981679825694</v>
      </c>
      <c r="I100">
        <v>356487.72421017301</v>
      </c>
      <c r="J100">
        <v>454951.705889998</v>
      </c>
      <c r="K100">
        <v>356606.13273686898</v>
      </c>
      <c r="L100">
        <v>55403.9516732509</v>
      </c>
      <c r="N100">
        <v>8757.0059999999994</v>
      </c>
      <c r="O100">
        <v>648410.04633779998</v>
      </c>
      <c r="P100">
        <v>42348.2089315048</v>
      </c>
      <c r="Q100">
        <v>690758.25526930403</v>
      </c>
      <c r="S100">
        <v>8757.0059999999994</v>
      </c>
      <c r="T100">
        <v>54679.593435261602</v>
      </c>
      <c r="V100">
        <v>8757.0059999999994</v>
      </c>
      <c r="W100">
        <v>126171.01880060699</v>
      </c>
    </row>
    <row r="101" spans="7:23" x14ac:dyDescent="0.25">
      <c r="G101">
        <v>8758.0059999999994</v>
      </c>
      <c r="H101">
        <v>98463.981679825694</v>
      </c>
      <c r="I101">
        <v>356556.22421017301</v>
      </c>
      <c r="J101">
        <v>455020.205889998</v>
      </c>
      <c r="K101">
        <v>356674.63273686898</v>
      </c>
      <c r="L101">
        <v>55403.9516732509</v>
      </c>
      <c r="N101">
        <v>8758.0059999999994</v>
      </c>
      <c r="O101">
        <v>648486.69833779999</v>
      </c>
      <c r="P101">
        <v>42353.044931504803</v>
      </c>
      <c r="Q101">
        <v>690839.742269304</v>
      </c>
      <c r="S101">
        <v>8758.0059999999994</v>
      </c>
      <c r="T101">
        <v>54679.593435261602</v>
      </c>
      <c r="V101">
        <v>8758.0059999999994</v>
      </c>
      <c r="W101">
        <v>126182.148800607</v>
      </c>
    </row>
    <row r="102" spans="7:23" x14ac:dyDescent="0.25">
      <c r="G102">
        <v>8759.0059999999994</v>
      </c>
      <c r="H102">
        <v>98463.981679825694</v>
      </c>
      <c r="I102">
        <v>356616.00421017298</v>
      </c>
      <c r="J102">
        <v>455079.98588999797</v>
      </c>
      <c r="K102">
        <v>356734.44273686898</v>
      </c>
      <c r="L102">
        <v>55403.9516732509</v>
      </c>
      <c r="N102">
        <v>8759.0059999999994</v>
      </c>
      <c r="O102">
        <v>648547.86933779996</v>
      </c>
      <c r="P102">
        <v>42357.879931504802</v>
      </c>
      <c r="Q102">
        <v>690905.74926930398</v>
      </c>
      <c r="S102">
        <v>8759.0059999999994</v>
      </c>
      <c r="T102">
        <v>54679.593435261602</v>
      </c>
      <c r="V102">
        <v>8759.0059999999994</v>
      </c>
      <c r="W102">
        <v>126191.784800607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123E-781A-451F-82EF-5ED6051F2E2D}">
  <dimension ref="G3:W103"/>
  <sheetViews>
    <sheetView topLeftCell="A70" workbookViewId="0">
      <selection activeCell="G103" sqref="G103"/>
    </sheetView>
  </sheetViews>
  <sheetFormatPr defaultRowHeight="15" x14ac:dyDescent="0.25"/>
  <sheetData>
    <row r="3" spans="7:23" x14ac:dyDescent="0.25">
      <c r="H3" t="s">
        <v>46</v>
      </c>
      <c r="I3" t="s">
        <v>47</v>
      </c>
      <c r="J3" t="s">
        <v>48</v>
      </c>
      <c r="K3" t="s">
        <v>49</v>
      </c>
      <c r="L3" t="s">
        <v>50</v>
      </c>
      <c r="O3" t="s">
        <v>51</v>
      </c>
      <c r="P3" t="s">
        <v>40</v>
      </c>
      <c r="Q3" t="s">
        <v>41</v>
      </c>
      <c r="T3" t="s">
        <v>52</v>
      </c>
      <c r="W3" t="s">
        <v>42</v>
      </c>
    </row>
    <row r="4" spans="7:23" x14ac:dyDescent="0.25">
      <c r="G4">
        <v>8660.0059999999994</v>
      </c>
      <c r="H4">
        <v>147512.227019738</v>
      </c>
      <c r="I4">
        <v>301317.18887026003</v>
      </c>
      <c r="J4">
        <v>448829.41588999802</v>
      </c>
      <c r="K4">
        <v>301429.21367270802</v>
      </c>
      <c r="L4">
        <v>19.155197553925699</v>
      </c>
      <c r="N4">
        <v>8660.0059999999994</v>
      </c>
      <c r="O4">
        <v>587635.20813579799</v>
      </c>
      <c r="P4">
        <v>41879.177931504797</v>
      </c>
      <c r="Q4">
        <v>629514.38606730301</v>
      </c>
      <c r="S4">
        <v>8660.0059999999994</v>
      </c>
      <c r="T4">
        <v>82382.919124968103</v>
      </c>
      <c r="V4">
        <v>8660.0059999999994</v>
      </c>
      <c r="W4">
        <v>109207.042834968</v>
      </c>
    </row>
    <row r="5" spans="7:23" x14ac:dyDescent="0.25">
      <c r="G5">
        <v>8661.0059999999994</v>
      </c>
      <c r="H5">
        <v>147512.227019738</v>
      </c>
      <c r="I5">
        <v>301397.25887025998</v>
      </c>
      <c r="J5">
        <v>448909.48588999797</v>
      </c>
      <c r="K5">
        <v>301509.28367270803</v>
      </c>
      <c r="L5">
        <v>19.155197553925699</v>
      </c>
      <c r="N5">
        <v>8661.0059999999994</v>
      </c>
      <c r="O5">
        <v>587711.18713579804</v>
      </c>
      <c r="P5">
        <v>41884.012931504803</v>
      </c>
      <c r="Q5">
        <v>629595.20106730296</v>
      </c>
      <c r="S5">
        <v>8661.0059999999994</v>
      </c>
      <c r="T5">
        <v>82382.919124968103</v>
      </c>
      <c r="V5">
        <v>8661.0059999999994</v>
      </c>
      <c r="W5">
        <v>109227.473834968</v>
      </c>
    </row>
    <row r="6" spans="7:23" x14ac:dyDescent="0.25">
      <c r="G6">
        <v>8662.0059999999994</v>
      </c>
      <c r="H6">
        <v>147512.227019738</v>
      </c>
      <c r="I6">
        <v>301462.53887026</v>
      </c>
      <c r="J6">
        <v>448974.765889998</v>
      </c>
      <c r="K6">
        <v>301574.563672708</v>
      </c>
      <c r="L6">
        <v>19.155197553925699</v>
      </c>
      <c r="N6">
        <v>8662.0059999999994</v>
      </c>
      <c r="O6">
        <v>587766.36313579802</v>
      </c>
      <c r="P6">
        <v>41888.848931504799</v>
      </c>
      <c r="Q6">
        <v>629655.21206730301</v>
      </c>
      <c r="S6">
        <v>8662.0059999999994</v>
      </c>
      <c r="T6">
        <v>82382.919124968103</v>
      </c>
      <c r="V6">
        <v>8662.0059999999994</v>
      </c>
      <c r="W6">
        <v>109242.83683496799</v>
      </c>
    </row>
    <row r="7" spans="7:23" x14ac:dyDescent="0.25">
      <c r="G7">
        <v>8663.0059999999994</v>
      </c>
      <c r="H7">
        <v>147512.227019738</v>
      </c>
      <c r="I7">
        <v>301518.49887026002</v>
      </c>
      <c r="J7">
        <v>449030.72588999802</v>
      </c>
      <c r="K7">
        <v>301630.52367270802</v>
      </c>
      <c r="L7">
        <v>19.155197553925699</v>
      </c>
      <c r="N7">
        <v>8663.0059999999994</v>
      </c>
      <c r="O7">
        <v>587810.48913579795</v>
      </c>
      <c r="P7">
        <v>41893.683931504798</v>
      </c>
      <c r="Q7">
        <v>629704.17306730303</v>
      </c>
      <c r="S7">
        <v>8663.0059999999994</v>
      </c>
      <c r="T7">
        <v>82382.919124968103</v>
      </c>
      <c r="V7">
        <v>8663.0059999999994</v>
      </c>
      <c r="W7">
        <v>109252.134834968</v>
      </c>
    </row>
    <row r="8" spans="7:23" x14ac:dyDescent="0.25">
      <c r="G8">
        <v>8664.0059999999994</v>
      </c>
      <c r="H8">
        <v>147512.227019738</v>
      </c>
      <c r="I8">
        <v>301568.79887026001</v>
      </c>
      <c r="J8">
        <v>449081.02588999801</v>
      </c>
      <c r="K8">
        <v>301680.82367270801</v>
      </c>
      <c r="L8">
        <v>19.155197553925699</v>
      </c>
      <c r="N8">
        <v>8664.0059999999994</v>
      </c>
      <c r="O8">
        <v>587850.26413579797</v>
      </c>
      <c r="P8">
        <v>41898.518931504797</v>
      </c>
      <c r="Q8">
        <v>629748.78406730294</v>
      </c>
      <c r="S8">
        <v>8664.0059999999994</v>
      </c>
      <c r="T8">
        <v>82382.919124968103</v>
      </c>
      <c r="V8">
        <v>8664.0059999999994</v>
      </c>
      <c r="W8">
        <v>109260.015834968</v>
      </c>
    </row>
    <row r="9" spans="7:23" x14ac:dyDescent="0.25">
      <c r="G9">
        <v>8665.0059999999994</v>
      </c>
      <c r="H9">
        <v>147512.227019738</v>
      </c>
      <c r="I9">
        <v>301605.79887026001</v>
      </c>
      <c r="J9">
        <v>449118.02588999801</v>
      </c>
      <c r="K9">
        <v>301717.82367270801</v>
      </c>
      <c r="L9">
        <v>19.155197553925699</v>
      </c>
      <c r="N9">
        <v>8665.0059999999994</v>
      </c>
      <c r="O9">
        <v>587874.14013579802</v>
      </c>
      <c r="P9">
        <v>41903.3549315048</v>
      </c>
      <c r="Q9">
        <v>629777.49506730295</v>
      </c>
      <c r="S9">
        <v>8665.0059999999994</v>
      </c>
      <c r="T9">
        <v>82382.919124968103</v>
      </c>
      <c r="V9">
        <v>8665.0059999999994</v>
      </c>
      <c r="W9">
        <v>109265.206834968</v>
      </c>
    </row>
    <row r="10" spans="7:23" x14ac:dyDescent="0.25">
      <c r="G10">
        <v>8666.0059999999994</v>
      </c>
      <c r="H10">
        <v>147512.227019738</v>
      </c>
      <c r="I10">
        <v>301637.90887026</v>
      </c>
      <c r="J10">
        <v>449150.135889998</v>
      </c>
      <c r="K10">
        <v>301749.93367270799</v>
      </c>
      <c r="L10">
        <v>19.155197553925699</v>
      </c>
      <c r="N10">
        <v>8666.0059999999994</v>
      </c>
      <c r="O10">
        <v>587891.60213579796</v>
      </c>
      <c r="P10">
        <v>41908.189931504799</v>
      </c>
      <c r="Q10">
        <v>629799.79306730302</v>
      </c>
      <c r="S10">
        <v>8666.0059999999994</v>
      </c>
      <c r="T10">
        <v>82382.919124968103</v>
      </c>
      <c r="V10">
        <v>8666.0059999999994</v>
      </c>
      <c r="W10">
        <v>109268.94583496801</v>
      </c>
    </row>
    <row r="11" spans="7:23" x14ac:dyDescent="0.25">
      <c r="G11">
        <v>8667.0059999999994</v>
      </c>
      <c r="H11">
        <v>147512.227019738</v>
      </c>
      <c r="I11">
        <v>301667.62887026003</v>
      </c>
      <c r="J11">
        <v>449179.85588999803</v>
      </c>
      <c r="K11">
        <v>301779.65367270802</v>
      </c>
      <c r="L11">
        <v>19.155197553925699</v>
      </c>
      <c r="N11">
        <v>8667.0059999999994</v>
      </c>
      <c r="O11">
        <v>587905.54813579796</v>
      </c>
      <c r="P11">
        <v>41913.025931504802</v>
      </c>
      <c r="Q11">
        <v>629818.57406730298</v>
      </c>
      <c r="S11">
        <v>8667.0059999999994</v>
      </c>
      <c r="T11">
        <v>82382.919124968103</v>
      </c>
      <c r="V11">
        <v>8667.0059999999994</v>
      </c>
      <c r="W11">
        <v>109272.02983496799</v>
      </c>
    </row>
    <row r="12" spans="7:23" x14ac:dyDescent="0.25">
      <c r="G12">
        <v>8668.0059999999994</v>
      </c>
      <c r="H12">
        <v>147512.227019738</v>
      </c>
      <c r="I12">
        <v>301696.50887025998</v>
      </c>
      <c r="J12">
        <v>449208.73588999797</v>
      </c>
      <c r="K12">
        <v>301808.58367270802</v>
      </c>
      <c r="L12">
        <v>19.155197553925699</v>
      </c>
      <c r="N12">
        <v>8668.0059999999994</v>
      </c>
      <c r="O12">
        <v>587913.01513579802</v>
      </c>
      <c r="P12">
        <v>41917.860931504802</v>
      </c>
      <c r="Q12">
        <v>629830.876067303</v>
      </c>
      <c r="S12">
        <v>8668.0059999999994</v>
      </c>
      <c r="T12">
        <v>82382.919124968103</v>
      </c>
      <c r="V12">
        <v>8668.0059999999994</v>
      </c>
      <c r="W12">
        <v>109275.04783496801</v>
      </c>
    </row>
    <row r="13" spans="7:23" x14ac:dyDescent="0.25">
      <c r="G13">
        <v>8669.0059999999994</v>
      </c>
      <c r="H13">
        <v>147512.227019738</v>
      </c>
      <c r="I13">
        <v>301725.62887026003</v>
      </c>
      <c r="J13">
        <v>449237.85588999803</v>
      </c>
      <c r="K13">
        <v>301837.70367270801</v>
      </c>
      <c r="L13">
        <v>19.155197553925699</v>
      </c>
      <c r="N13">
        <v>8669.0059999999994</v>
      </c>
      <c r="O13">
        <v>587913.25413579796</v>
      </c>
      <c r="P13">
        <v>41922.695931504801</v>
      </c>
      <c r="Q13">
        <v>629835.95106730296</v>
      </c>
      <c r="S13">
        <v>8669.0059999999994</v>
      </c>
      <c r="T13">
        <v>82382.919124968103</v>
      </c>
      <c r="V13">
        <v>8669.0059999999994</v>
      </c>
      <c r="W13">
        <v>109278.028834968</v>
      </c>
    </row>
    <row r="14" spans="7:23" x14ac:dyDescent="0.25">
      <c r="G14">
        <v>8670.0059999999994</v>
      </c>
      <c r="H14">
        <v>147512.227019738</v>
      </c>
      <c r="I14">
        <v>301759.88887025998</v>
      </c>
      <c r="J14">
        <v>449272.11588999798</v>
      </c>
      <c r="K14">
        <v>301871.96367270802</v>
      </c>
      <c r="L14">
        <v>19.155197553925699</v>
      </c>
      <c r="N14">
        <v>8670.0059999999994</v>
      </c>
      <c r="O14">
        <v>587913.35613579804</v>
      </c>
      <c r="P14">
        <v>41927.531931504796</v>
      </c>
      <c r="Q14">
        <v>629840.88806730299</v>
      </c>
      <c r="S14">
        <v>8670.0059999999994</v>
      </c>
      <c r="T14">
        <v>82382.919124968103</v>
      </c>
      <c r="V14">
        <v>8670.0059999999994</v>
      </c>
      <c r="W14">
        <v>109281.68483496799</v>
      </c>
    </row>
    <row r="15" spans="7:23" x14ac:dyDescent="0.25">
      <c r="G15">
        <v>8671.0059999999994</v>
      </c>
      <c r="H15">
        <v>147512.227019738</v>
      </c>
      <c r="I15">
        <v>301801.38887025998</v>
      </c>
      <c r="J15">
        <v>449313.61588999798</v>
      </c>
      <c r="K15">
        <v>301913.46367270802</v>
      </c>
      <c r="L15">
        <v>19.155197553925699</v>
      </c>
      <c r="N15">
        <v>8671.0059999999994</v>
      </c>
      <c r="O15">
        <v>587913.69713579805</v>
      </c>
      <c r="P15">
        <v>41932.366931504803</v>
      </c>
      <c r="Q15">
        <v>629846.06406730297</v>
      </c>
      <c r="S15">
        <v>8671.0059999999994</v>
      </c>
      <c r="T15">
        <v>82382.919124968103</v>
      </c>
      <c r="V15">
        <v>8671.0059999999994</v>
      </c>
      <c r="W15">
        <v>109286.255834968</v>
      </c>
    </row>
    <row r="16" spans="7:23" x14ac:dyDescent="0.25">
      <c r="G16">
        <v>8672.0059999999994</v>
      </c>
      <c r="H16">
        <v>147512.227019738</v>
      </c>
      <c r="I16">
        <v>301856.22887026001</v>
      </c>
      <c r="J16">
        <v>449368.455889998</v>
      </c>
      <c r="K16">
        <v>301968.30367270799</v>
      </c>
      <c r="L16">
        <v>19.155197553925699</v>
      </c>
      <c r="N16">
        <v>8672.0059999999994</v>
      </c>
      <c r="O16">
        <v>587953.789135798</v>
      </c>
      <c r="P16">
        <v>41937.201931504802</v>
      </c>
      <c r="Q16">
        <v>629890.99206730304</v>
      </c>
      <c r="S16">
        <v>8672.0059999999994</v>
      </c>
      <c r="T16">
        <v>82382.919124968103</v>
      </c>
      <c r="V16">
        <v>8672.0059999999994</v>
      </c>
      <c r="W16">
        <v>109294.72283496799</v>
      </c>
    </row>
    <row r="17" spans="7:23" x14ac:dyDescent="0.25">
      <c r="G17">
        <v>8673.0059999999994</v>
      </c>
      <c r="H17">
        <v>147512.48701973801</v>
      </c>
      <c r="I17">
        <v>301924.31887025997</v>
      </c>
      <c r="J17">
        <v>449436.80588999798</v>
      </c>
      <c r="K17">
        <v>302036.39367270801</v>
      </c>
      <c r="L17">
        <v>19.155197553925699</v>
      </c>
      <c r="N17">
        <v>8673.0059999999994</v>
      </c>
      <c r="O17">
        <v>588004.73713579797</v>
      </c>
      <c r="P17">
        <v>41942.037931504798</v>
      </c>
      <c r="Q17">
        <v>629946.77506730298</v>
      </c>
      <c r="S17">
        <v>8673.0059999999994</v>
      </c>
      <c r="T17">
        <v>82382.919124968103</v>
      </c>
      <c r="V17">
        <v>8673.0059999999994</v>
      </c>
      <c r="W17">
        <v>109305.954834968</v>
      </c>
    </row>
    <row r="18" spans="7:23" x14ac:dyDescent="0.25">
      <c r="G18">
        <v>8674.0059999999994</v>
      </c>
      <c r="H18">
        <v>147515.333019738</v>
      </c>
      <c r="I18">
        <v>301999.94287025998</v>
      </c>
      <c r="J18">
        <v>449515.27588999801</v>
      </c>
      <c r="K18">
        <v>302112.01767270803</v>
      </c>
      <c r="L18">
        <v>19.155197553882701</v>
      </c>
      <c r="N18">
        <v>8674.0059999999994</v>
      </c>
      <c r="O18">
        <v>588060.25013579801</v>
      </c>
      <c r="P18">
        <v>41946.872931504797</v>
      </c>
      <c r="Q18">
        <v>630007.12306730298</v>
      </c>
      <c r="S18">
        <v>8674.0059999999994</v>
      </c>
      <c r="T18">
        <v>82382.934124968102</v>
      </c>
      <c r="V18">
        <v>8674.0059999999994</v>
      </c>
      <c r="W18">
        <v>109319.26383496801</v>
      </c>
    </row>
    <row r="19" spans="7:23" x14ac:dyDescent="0.25">
      <c r="G19">
        <v>8675.0059999999994</v>
      </c>
      <c r="H19">
        <v>147521.98701973801</v>
      </c>
      <c r="I19">
        <v>302072.11887026002</v>
      </c>
      <c r="J19">
        <v>449594.10588999803</v>
      </c>
      <c r="K19">
        <v>302184.193672708</v>
      </c>
      <c r="L19">
        <v>19.1551975539277</v>
      </c>
      <c r="N19">
        <v>8675.0059999999994</v>
      </c>
      <c r="O19">
        <v>588118.34713579796</v>
      </c>
      <c r="P19">
        <v>41951.7089315048</v>
      </c>
      <c r="Q19">
        <v>630070.05506730301</v>
      </c>
      <c r="S19">
        <v>8675.0059999999994</v>
      </c>
      <c r="T19">
        <v>82383.093124968102</v>
      </c>
      <c r="V19">
        <v>8675.0059999999994</v>
      </c>
      <c r="W19">
        <v>109332.852834968</v>
      </c>
    </row>
    <row r="20" spans="7:23" x14ac:dyDescent="0.25">
      <c r="G20">
        <v>8676.0059999999994</v>
      </c>
      <c r="H20">
        <v>147530.04101973801</v>
      </c>
      <c r="I20">
        <v>302136.96487025998</v>
      </c>
      <c r="J20">
        <v>449667.00588999799</v>
      </c>
      <c r="K20">
        <v>302249.03967270802</v>
      </c>
      <c r="L20">
        <v>19.1551975538882</v>
      </c>
      <c r="N20">
        <v>8676.0059999999994</v>
      </c>
      <c r="O20">
        <v>588168.75313579803</v>
      </c>
      <c r="P20">
        <v>41956.543931504799</v>
      </c>
      <c r="Q20">
        <v>630125.29706730298</v>
      </c>
      <c r="S20">
        <v>8676.0059999999994</v>
      </c>
      <c r="T20">
        <v>82383.376124968097</v>
      </c>
      <c r="V20">
        <v>8676.0059999999994</v>
      </c>
      <c r="W20">
        <v>109346.224834968</v>
      </c>
    </row>
    <row r="21" spans="7:23" x14ac:dyDescent="0.25">
      <c r="G21">
        <v>8677.0059999999994</v>
      </c>
      <c r="H21">
        <v>147538.15001973801</v>
      </c>
      <c r="I21">
        <v>302203.30587026</v>
      </c>
      <c r="J21">
        <v>449741.455889998</v>
      </c>
      <c r="K21">
        <v>302315.38067270798</v>
      </c>
      <c r="L21">
        <v>19.155197553873599</v>
      </c>
      <c r="N21">
        <v>8677.0059999999994</v>
      </c>
      <c r="O21">
        <v>588219.13513579802</v>
      </c>
      <c r="P21">
        <v>41961.378931504798</v>
      </c>
      <c r="Q21">
        <v>630180.51406730304</v>
      </c>
      <c r="S21">
        <v>8677.0059999999994</v>
      </c>
      <c r="T21">
        <v>82383.625124968094</v>
      </c>
      <c r="V21">
        <v>8677.0059999999994</v>
      </c>
      <c r="W21">
        <v>109359.28683496801</v>
      </c>
    </row>
    <row r="22" spans="7:23" x14ac:dyDescent="0.25">
      <c r="G22">
        <v>8678.0059999999994</v>
      </c>
      <c r="H22">
        <v>147543.69201973799</v>
      </c>
      <c r="I22">
        <v>302267.61387026001</v>
      </c>
      <c r="J22">
        <v>449811.30588999798</v>
      </c>
      <c r="K22">
        <v>302379.688672708</v>
      </c>
      <c r="L22">
        <v>19.155197553875698</v>
      </c>
      <c r="N22">
        <v>8678.0059999999994</v>
      </c>
      <c r="O22">
        <v>588272.91313579795</v>
      </c>
      <c r="P22">
        <v>41966.214931504801</v>
      </c>
      <c r="Q22">
        <v>630239.12806730298</v>
      </c>
      <c r="S22">
        <v>8678.0059999999994</v>
      </c>
      <c r="T22">
        <v>82383.713124968097</v>
      </c>
      <c r="V22">
        <v>8678.0059999999994</v>
      </c>
      <c r="W22">
        <v>109371.340834968</v>
      </c>
    </row>
    <row r="23" spans="7:23" x14ac:dyDescent="0.25">
      <c r="G23">
        <v>8679.0059999999994</v>
      </c>
      <c r="H23">
        <v>147544.94801973799</v>
      </c>
      <c r="I23">
        <v>302343.91787026002</v>
      </c>
      <c r="J23">
        <v>449888.86588999798</v>
      </c>
      <c r="K23">
        <v>302455.992672708</v>
      </c>
      <c r="L23">
        <v>19.155197553875698</v>
      </c>
      <c r="N23">
        <v>8679.0059999999994</v>
      </c>
      <c r="O23">
        <v>588343.09913579805</v>
      </c>
      <c r="P23">
        <v>41971.0499315048</v>
      </c>
      <c r="Q23">
        <v>630314.14906730305</v>
      </c>
      <c r="S23">
        <v>8679.0059999999994</v>
      </c>
      <c r="T23">
        <v>82383.713124968097</v>
      </c>
      <c r="V23">
        <v>8679.0059999999994</v>
      </c>
      <c r="W23">
        <v>109383.974834968</v>
      </c>
    </row>
    <row r="24" spans="7:23" x14ac:dyDescent="0.25">
      <c r="G24">
        <v>8680.0059999999994</v>
      </c>
      <c r="H24">
        <v>147544.955019738</v>
      </c>
      <c r="I24">
        <v>302431.26087026001</v>
      </c>
      <c r="J24">
        <v>449976.21588999801</v>
      </c>
      <c r="K24">
        <v>302543.335672708</v>
      </c>
      <c r="L24">
        <v>19.155197553875698</v>
      </c>
      <c r="N24">
        <v>8680.0059999999994</v>
      </c>
      <c r="O24">
        <v>588442.13913579797</v>
      </c>
      <c r="P24">
        <v>41975.884931504799</v>
      </c>
      <c r="Q24">
        <v>630418.02406730305</v>
      </c>
      <c r="S24">
        <v>8680.0059999999994</v>
      </c>
      <c r="T24">
        <v>82383.713124968097</v>
      </c>
      <c r="V24">
        <v>8680.0059999999994</v>
      </c>
      <c r="W24">
        <v>109398.227834968</v>
      </c>
    </row>
    <row r="25" spans="7:23" x14ac:dyDescent="0.25">
      <c r="G25">
        <v>8681.0059999999994</v>
      </c>
      <c r="H25">
        <v>147544.955019738</v>
      </c>
      <c r="I25">
        <v>302541.32087026001</v>
      </c>
      <c r="J25">
        <v>450086.27588999801</v>
      </c>
      <c r="K25">
        <v>302653.39567270799</v>
      </c>
      <c r="L25">
        <v>19.155197553875698</v>
      </c>
      <c r="N25">
        <v>8681.0059999999994</v>
      </c>
      <c r="O25">
        <v>588569.566135798</v>
      </c>
      <c r="P25">
        <v>41980.720931504802</v>
      </c>
      <c r="Q25">
        <v>630550.28606730304</v>
      </c>
      <c r="S25">
        <v>8681.0059999999994</v>
      </c>
      <c r="T25">
        <v>82383.713124968097</v>
      </c>
      <c r="V25">
        <v>8681.0059999999994</v>
      </c>
      <c r="W25">
        <v>109418.011834968</v>
      </c>
    </row>
    <row r="26" spans="7:23" x14ac:dyDescent="0.25">
      <c r="G26">
        <v>8682.0059999999994</v>
      </c>
      <c r="H26">
        <v>147544.955019738</v>
      </c>
      <c r="I26">
        <v>302656.16087025998</v>
      </c>
      <c r="J26">
        <v>450201.11588999798</v>
      </c>
      <c r="K26">
        <v>302768.23567270802</v>
      </c>
      <c r="L26">
        <v>19.155197553875698</v>
      </c>
      <c r="N26">
        <v>8682.0059999999994</v>
      </c>
      <c r="O26">
        <v>588705.95313579799</v>
      </c>
      <c r="P26">
        <v>41985.555931504801</v>
      </c>
      <c r="Q26">
        <v>630691.50906730304</v>
      </c>
      <c r="S26">
        <v>8682.0059999999994</v>
      </c>
      <c r="T26">
        <v>82383.713124968097</v>
      </c>
      <c r="V26">
        <v>8682.0059999999994</v>
      </c>
      <c r="W26">
        <v>109436.306834968</v>
      </c>
    </row>
    <row r="27" spans="7:23" x14ac:dyDescent="0.25">
      <c r="G27">
        <v>8683.0059999999994</v>
      </c>
      <c r="H27">
        <v>147544.955019738</v>
      </c>
      <c r="I27">
        <v>302755.97087025997</v>
      </c>
      <c r="J27">
        <v>450300.92588999798</v>
      </c>
      <c r="K27">
        <v>302868.04567270802</v>
      </c>
      <c r="L27">
        <v>19.155197553875698</v>
      </c>
      <c r="N27">
        <v>8683.0059999999994</v>
      </c>
      <c r="O27">
        <v>588823.29913579801</v>
      </c>
      <c r="P27">
        <v>41990.391931504797</v>
      </c>
      <c r="Q27">
        <v>630813.69106730295</v>
      </c>
      <c r="S27">
        <v>8683.0059999999994</v>
      </c>
      <c r="T27">
        <v>82383.713124968097</v>
      </c>
      <c r="V27">
        <v>8683.0059999999994</v>
      </c>
      <c r="W27">
        <v>109451.829834968</v>
      </c>
    </row>
    <row r="28" spans="7:23" x14ac:dyDescent="0.25">
      <c r="G28">
        <v>8684.0059999999994</v>
      </c>
      <c r="H28">
        <v>147544.955019738</v>
      </c>
      <c r="I28">
        <v>302841.49087025999</v>
      </c>
      <c r="J28">
        <v>450386.44588999799</v>
      </c>
      <c r="K28">
        <v>302953.56567270798</v>
      </c>
      <c r="L28">
        <v>19.155197553875698</v>
      </c>
      <c r="N28">
        <v>8684.0059999999994</v>
      </c>
      <c r="O28">
        <v>588920.84613579803</v>
      </c>
      <c r="P28">
        <v>41995.226931504803</v>
      </c>
      <c r="Q28">
        <v>630916.07306730305</v>
      </c>
      <c r="S28">
        <v>8684.0059999999994</v>
      </c>
      <c r="T28">
        <v>82383.713124968097</v>
      </c>
      <c r="V28">
        <v>8684.0059999999994</v>
      </c>
      <c r="W28">
        <v>109467.198834968</v>
      </c>
    </row>
    <row r="29" spans="7:23" x14ac:dyDescent="0.25">
      <c r="G29">
        <v>8685.0059999999994</v>
      </c>
      <c r="H29">
        <v>147544.955019738</v>
      </c>
      <c r="I29">
        <v>302917.08087026002</v>
      </c>
      <c r="J29">
        <v>450462.03588999802</v>
      </c>
      <c r="K29">
        <v>303029.155672708</v>
      </c>
      <c r="L29">
        <v>19.155197553875698</v>
      </c>
      <c r="N29">
        <v>8685.0059999999994</v>
      </c>
      <c r="O29">
        <v>589002.49913579796</v>
      </c>
      <c r="P29">
        <v>42000.061931504802</v>
      </c>
      <c r="Q29">
        <v>631002.56206730299</v>
      </c>
      <c r="S29">
        <v>8685.0059999999994</v>
      </c>
      <c r="T29">
        <v>82383.713124968097</v>
      </c>
      <c r="V29">
        <v>8685.0059999999994</v>
      </c>
      <c r="W29">
        <v>109480.865834968</v>
      </c>
    </row>
    <row r="30" spans="7:23" x14ac:dyDescent="0.25">
      <c r="G30">
        <v>8686.0059999999994</v>
      </c>
      <c r="H30">
        <v>147544.955019738</v>
      </c>
      <c r="I30">
        <v>302981.11087025999</v>
      </c>
      <c r="J30">
        <v>450526.06588999799</v>
      </c>
      <c r="K30">
        <v>303093.18567270797</v>
      </c>
      <c r="L30">
        <v>19.155197553875698</v>
      </c>
      <c r="N30">
        <v>8686.0059999999994</v>
      </c>
      <c r="O30">
        <v>589069.37213579798</v>
      </c>
      <c r="P30">
        <v>42004.897931504798</v>
      </c>
      <c r="Q30">
        <v>631074.27006730298</v>
      </c>
      <c r="S30">
        <v>8686.0059999999994</v>
      </c>
      <c r="T30">
        <v>82383.713124968097</v>
      </c>
      <c r="V30">
        <v>8686.0059999999994</v>
      </c>
      <c r="W30">
        <v>109492.405834968</v>
      </c>
    </row>
    <row r="31" spans="7:23" x14ac:dyDescent="0.25">
      <c r="G31">
        <v>8687.0059999999994</v>
      </c>
      <c r="H31">
        <v>147544.955019738</v>
      </c>
      <c r="I31">
        <v>303032.29087025998</v>
      </c>
      <c r="J31">
        <v>450577.24588999798</v>
      </c>
      <c r="K31">
        <v>303144.55567270803</v>
      </c>
      <c r="L31">
        <v>19.155197553875698</v>
      </c>
      <c r="N31">
        <v>8687.0059999999994</v>
      </c>
      <c r="O31">
        <v>589122.29513579805</v>
      </c>
      <c r="P31">
        <v>42009.732931504797</v>
      </c>
      <c r="Q31">
        <v>631132.02806730301</v>
      </c>
      <c r="S31">
        <v>8687.0059999999994</v>
      </c>
      <c r="T31">
        <v>82383.713124968097</v>
      </c>
      <c r="V31">
        <v>8687.0059999999994</v>
      </c>
      <c r="W31">
        <v>109504.622834968</v>
      </c>
    </row>
    <row r="32" spans="7:23" x14ac:dyDescent="0.25">
      <c r="G32">
        <v>8688.0059999999994</v>
      </c>
      <c r="H32">
        <v>147544.955019738</v>
      </c>
      <c r="I32">
        <v>303074.43087026</v>
      </c>
      <c r="J32">
        <v>450619.385889998</v>
      </c>
      <c r="K32">
        <v>303186.69567270798</v>
      </c>
      <c r="L32">
        <v>19.155197553875698</v>
      </c>
      <c r="N32">
        <v>8688.0059999999994</v>
      </c>
      <c r="O32">
        <v>589170.77013579803</v>
      </c>
      <c r="P32">
        <v>42014.567931504796</v>
      </c>
      <c r="Q32">
        <v>631185.33906730299</v>
      </c>
      <c r="S32">
        <v>8688.0059999999994</v>
      </c>
      <c r="T32">
        <v>82383.713124968097</v>
      </c>
      <c r="V32">
        <v>8688.0059999999994</v>
      </c>
      <c r="W32">
        <v>109517.799834968</v>
      </c>
    </row>
    <row r="33" spans="7:23" x14ac:dyDescent="0.25">
      <c r="G33">
        <v>8689.0059999999994</v>
      </c>
      <c r="H33">
        <v>147544.955019738</v>
      </c>
      <c r="I33">
        <v>303111.20087026001</v>
      </c>
      <c r="J33">
        <v>450656.15588999802</v>
      </c>
      <c r="K33">
        <v>303223.465672708</v>
      </c>
      <c r="L33">
        <v>19.155197553875698</v>
      </c>
      <c r="N33">
        <v>8689.0059999999994</v>
      </c>
      <c r="O33">
        <v>589213.04013579804</v>
      </c>
      <c r="P33">
        <v>42019.403931504799</v>
      </c>
      <c r="Q33">
        <v>631232.44406730297</v>
      </c>
      <c r="S33">
        <v>8689.0059999999994</v>
      </c>
      <c r="T33">
        <v>82383.713124968097</v>
      </c>
      <c r="V33">
        <v>8689.0059999999994</v>
      </c>
      <c r="W33">
        <v>109529.747834968</v>
      </c>
    </row>
    <row r="34" spans="7:23" x14ac:dyDescent="0.25">
      <c r="G34">
        <v>8690.0059999999994</v>
      </c>
      <c r="H34">
        <v>147544.955019738</v>
      </c>
      <c r="I34">
        <v>303144.35087025998</v>
      </c>
      <c r="J34">
        <v>450689.30588999798</v>
      </c>
      <c r="K34">
        <v>303256.61567270802</v>
      </c>
      <c r="L34">
        <v>19.155197553875698</v>
      </c>
      <c r="N34">
        <v>8690.0059999999994</v>
      </c>
      <c r="O34">
        <v>589251.34713579796</v>
      </c>
      <c r="P34">
        <v>42024.238931504799</v>
      </c>
      <c r="Q34">
        <v>631275.58606730297</v>
      </c>
      <c r="S34">
        <v>8690.0059999999994</v>
      </c>
      <c r="T34">
        <v>82383.713124968097</v>
      </c>
      <c r="V34">
        <v>8690.0059999999994</v>
      </c>
      <c r="W34">
        <v>109540.728834968</v>
      </c>
    </row>
    <row r="35" spans="7:23" x14ac:dyDescent="0.25">
      <c r="G35">
        <v>8691.0059999999994</v>
      </c>
      <c r="H35">
        <v>147544.955019738</v>
      </c>
      <c r="I35">
        <v>303176.15087026003</v>
      </c>
      <c r="J35">
        <v>450721.10588999803</v>
      </c>
      <c r="K35">
        <v>303288.41567270801</v>
      </c>
      <c r="L35">
        <v>19.155197553875698</v>
      </c>
      <c r="N35">
        <v>8691.0059999999994</v>
      </c>
      <c r="O35">
        <v>589288.42613579798</v>
      </c>
      <c r="P35">
        <v>42029.074931504801</v>
      </c>
      <c r="Q35">
        <v>631317.50006730296</v>
      </c>
      <c r="S35">
        <v>8691.0059999999994</v>
      </c>
      <c r="T35">
        <v>82383.713124968097</v>
      </c>
      <c r="V35">
        <v>8691.0059999999994</v>
      </c>
      <c r="W35">
        <v>109552.880834968</v>
      </c>
    </row>
    <row r="36" spans="7:23" x14ac:dyDescent="0.25">
      <c r="G36">
        <v>8692.0059999999994</v>
      </c>
      <c r="H36">
        <v>147544.955019738</v>
      </c>
      <c r="I36">
        <v>303206.09087026003</v>
      </c>
      <c r="J36">
        <v>450751.04588999797</v>
      </c>
      <c r="K36">
        <v>303318.35567270801</v>
      </c>
      <c r="L36">
        <v>19.155197553875698</v>
      </c>
      <c r="N36">
        <v>8692.0059999999994</v>
      </c>
      <c r="O36">
        <v>589325.43513579795</v>
      </c>
      <c r="P36">
        <v>42033.909931504801</v>
      </c>
      <c r="Q36">
        <v>631359.34506730305</v>
      </c>
      <c r="S36">
        <v>8692.0059999999994</v>
      </c>
      <c r="T36">
        <v>82383.713124968097</v>
      </c>
      <c r="V36">
        <v>8692.0059999999994</v>
      </c>
      <c r="W36">
        <v>109565.906834968</v>
      </c>
    </row>
    <row r="37" spans="7:23" x14ac:dyDescent="0.25">
      <c r="G37">
        <v>8693.0059999999994</v>
      </c>
      <c r="H37">
        <v>147544.955019738</v>
      </c>
      <c r="I37">
        <v>303237.95087026001</v>
      </c>
      <c r="J37">
        <v>450782.90588999802</v>
      </c>
      <c r="K37">
        <v>303350.215672708</v>
      </c>
      <c r="L37">
        <v>19.155197553875698</v>
      </c>
      <c r="N37">
        <v>8693.0059999999994</v>
      </c>
      <c r="O37">
        <v>589367.50413579796</v>
      </c>
      <c r="P37">
        <v>42038.7449315048</v>
      </c>
      <c r="Q37">
        <v>631406.24906730303</v>
      </c>
      <c r="S37">
        <v>8693.0059999999994</v>
      </c>
      <c r="T37">
        <v>82383.713124968097</v>
      </c>
      <c r="V37">
        <v>8693.0059999999994</v>
      </c>
      <c r="W37">
        <v>109580.409834968</v>
      </c>
    </row>
    <row r="38" spans="7:23" x14ac:dyDescent="0.25">
      <c r="G38">
        <v>8694.0059999999994</v>
      </c>
      <c r="H38">
        <v>147544.955019738</v>
      </c>
      <c r="I38">
        <v>303279.83087026002</v>
      </c>
      <c r="J38">
        <v>450824.78588999802</v>
      </c>
      <c r="K38">
        <v>303392.095672708</v>
      </c>
      <c r="L38">
        <v>19.155197553875698</v>
      </c>
      <c r="N38">
        <v>8694.0059999999994</v>
      </c>
      <c r="O38">
        <v>589424.64613579796</v>
      </c>
      <c r="P38">
        <v>42043.580931504803</v>
      </c>
      <c r="Q38">
        <v>631468.22706730303</v>
      </c>
      <c r="S38">
        <v>8694.0059999999994</v>
      </c>
      <c r="T38">
        <v>82383.713124968097</v>
      </c>
      <c r="V38">
        <v>8694.0059999999994</v>
      </c>
      <c r="W38">
        <v>109601.895834968</v>
      </c>
    </row>
    <row r="39" spans="7:23" x14ac:dyDescent="0.25">
      <c r="G39">
        <v>8695.0059999999994</v>
      </c>
      <c r="H39">
        <v>147544.955019738</v>
      </c>
      <c r="I39">
        <v>303328.47087025997</v>
      </c>
      <c r="J39">
        <v>450873.42588999798</v>
      </c>
      <c r="K39">
        <v>303440.73567270802</v>
      </c>
      <c r="L39">
        <v>19.155197553875698</v>
      </c>
      <c r="N39">
        <v>8695.0059999999994</v>
      </c>
      <c r="O39">
        <v>589496.81813579798</v>
      </c>
      <c r="P39">
        <v>42048.415931504802</v>
      </c>
      <c r="Q39">
        <v>631545.23406730301</v>
      </c>
      <c r="S39">
        <v>8695.0059999999994</v>
      </c>
      <c r="T39">
        <v>82383.713124968097</v>
      </c>
      <c r="V39">
        <v>8695.0059999999994</v>
      </c>
      <c r="W39">
        <v>109630.897834968</v>
      </c>
    </row>
    <row r="40" spans="7:23" x14ac:dyDescent="0.25">
      <c r="G40">
        <v>8696.0059999999994</v>
      </c>
      <c r="H40">
        <v>147545.03301973801</v>
      </c>
      <c r="I40">
        <v>303381.60287026002</v>
      </c>
      <c r="J40">
        <v>450926.635889998</v>
      </c>
      <c r="K40">
        <v>303493.867672708</v>
      </c>
      <c r="L40">
        <v>19.155197553875698</v>
      </c>
      <c r="N40">
        <v>8696.0059999999994</v>
      </c>
      <c r="O40">
        <v>589580.41213579802</v>
      </c>
      <c r="P40">
        <v>42053.250931504801</v>
      </c>
      <c r="Q40">
        <v>631633.66306730302</v>
      </c>
      <c r="S40">
        <v>8696.0059999999994</v>
      </c>
      <c r="T40">
        <v>82383.713124968097</v>
      </c>
      <c r="V40">
        <v>8696.0059999999994</v>
      </c>
      <c r="W40">
        <v>109664.22583496801</v>
      </c>
    </row>
    <row r="41" spans="7:23" x14ac:dyDescent="0.25">
      <c r="G41">
        <v>8697.0059999999994</v>
      </c>
      <c r="H41">
        <v>147548.96801973801</v>
      </c>
      <c r="I41">
        <v>303441.16787026002</v>
      </c>
      <c r="J41">
        <v>450990.135889998</v>
      </c>
      <c r="K41">
        <v>303553.432672708</v>
      </c>
      <c r="L41">
        <v>19.155197553874299</v>
      </c>
      <c r="N41">
        <v>8697.0059999999994</v>
      </c>
      <c r="O41">
        <v>589686.61313579802</v>
      </c>
      <c r="P41">
        <v>42058.086931504797</v>
      </c>
      <c r="Q41">
        <v>631744.70006730303</v>
      </c>
      <c r="S41">
        <v>8697.0059999999994</v>
      </c>
      <c r="T41">
        <v>82383.853124968096</v>
      </c>
      <c r="V41">
        <v>8697.0059999999994</v>
      </c>
      <c r="W41">
        <v>109703.456834968</v>
      </c>
    </row>
    <row r="42" spans="7:23" x14ac:dyDescent="0.25">
      <c r="G42">
        <v>8698.0059999999994</v>
      </c>
      <c r="H42">
        <v>147563.898019738</v>
      </c>
      <c r="I42">
        <v>303494.80787025997</v>
      </c>
      <c r="J42">
        <v>451058.705889998</v>
      </c>
      <c r="K42">
        <v>303607.07267270802</v>
      </c>
      <c r="L42">
        <v>19.155197553889501</v>
      </c>
      <c r="N42">
        <v>8698.0059999999994</v>
      </c>
      <c r="O42">
        <v>589783.49113579805</v>
      </c>
      <c r="P42">
        <v>42062.921931504803</v>
      </c>
      <c r="Q42">
        <v>631846.41306730302</v>
      </c>
      <c r="S42">
        <v>8698.0059999999994</v>
      </c>
      <c r="T42">
        <v>82388.596124968099</v>
      </c>
      <c r="V42">
        <v>8698.0059999999994</v>
      </c>
      <c r="W42">
        <v>109737.890834968</v>
      </c>
    </row>
    <row r="43" spans="7:23" x14ac:dyDescent="0.25">
      <c r="G43">
        <v>8699.0059999999994</v>
      </c>
      <c r="H43">
        <v>147585.678019738</v>
      </c>
      <c r="I43">
        <v>303544.19787025999</v>
      </c>
      <c r="J43">
        <v>451129.87588999799</v>
      </c>
      <c r="K43">
        <v>303656.46267270797</v>
      </c>
      <c r="L43">
        <v>19.155197553928399</v>
      </c>
      <c r="N43">
        <v>8699.0059999999994</v>
      </c>
      <c r="O43">
        <v>589861.78513579804</v>
      </c>
      <c r="P43">
        <v>42067.757931504799</v>
      </c>
      <c r="Q43">
        <v>631929.54206730297</v>
      </c>
      <c r="S43">
        <v>8699.0059999999994</v>
      </c>
      <c r="T43">
        <v>82396.510124968103</v>
      </c>
      <c r="V43">
        <v>8699.0059999999994</v>
      </c>
      <c r="W43">
        <v>109768.98783496799</v>
      </c>
    </row>
    <row r="44" spans="7:23" x14ac:dyDescent="0.25">
      <c r="G44">
        <v>8700.0059999999994</v>
      </c>
      <c r="H44">
        <v>147606.44301973801</v>
      </c>
      <c r="I44">
        <v>303584.34287026001</v>
      </c>
      <c r="J44">
        <v>451190.78588999802</v>
      </c>
      <c r="K44">
        <v>303696.60767270799</v>
      </c>
      <c r="L44">
        <v>19.155197553924101</v>
      </c>
      <c r="N44">
        <v>8700.0059999999994</v>
      </c>
      <c r="O44">
        <v>589923.20913579804</v>
      </c>
      <c r="P44">
        <v>42072.592931504798</v>
      </c>
      <c r="Q44">
        <v>631995.80206730298</v>
      </c>
      <c r="S44">
        <v>8700.0059999999994</v>
      </c>
      <c r="T44">
        <v>82403.491124968103</v>
      </c>
      <c r="V44">
        <v>8700.0059999999994</v>
      </c>
      <c r="W44">
        <v>109793.011834968</v>
      </c>
    </row>
    <row r="45" spans="7:23" x14ac:dyDescent="0.25">
      <c r="G45">
        <v>8701.0059999999994</v>
      </c>
      <c r="H45">
        <v>147621.001019738</v>
      </c>
      <c r="I45">
        <v>303630.28487025999</v>
      </c>
      <c r="J45">
        <v>451251.28588999802</v>
      </c>
      <c r="K45">
        <v>303742.54967270797</v>
      </c>
      <c r="L45">
        <v>19.1551975539032</v>
      </c>
      <c r="N45">
        <v>8701.0059999999994</v>
      </c>
      <c r="O45">
        <v>589990.76113579795</v>
      </c>
      <c r="P45">
        <v>42077.427931504797</v>
      </c>
      <c r="Q45">
        <v>632068.18906730297</v>
      </c>
      <c r="S45">
        <v>8701.0059999999994</v>
      </c>
      <c r="T45">
        <v>82406.914124968098</v>
      </c>
      <c r="V45">
        <v>8701.0059999999994</v>
      </c>
      <c r="W45">
        <v>109817.917834968</v>
      </c>
    </row>
    <row r="46" spans="7:23" x14ac:dyDescent="0.25">
      <c r="G46">
        <v>8702.0059999999994</v>
      </c>
      <c r="H46">
        <v>147627.31701973799</v>
      </c>
      <c r="I46">
        <v>303685.47887026001</v>
      </c>
      <c r="J46">
        <v>451312.79588999797</v>
      </c>
      <c r="K46">
        <v>303797.74367270799</v>
      </c>
      <c r="L46">
        <v>19.1551975538816</v>
      </c>
      <c r="N46">
        <v>8702.0059999999994</v>
      </c>
      <c r="O46">
        <v>590068.86913579796</v>
      </c>
      <c r="P46">
        <v>42082.2639315048</v>
      </c>
      <c r="Q46">
        <v>632151.13306730299</v>
      </c>
      <c r="S46">
        <v>8702.0059999999994</v>
      </c>
      <c r="T46">
        <v>82407.232124968097</v>
      </c>
      <c r="V46">
        <v>8702.0059999999994</v>
      </c>
      <c r="W46">
        <v>109844.045834968</v>
      </c>
    </row>
    <row r="47" spans="7:23" x14ac:dyDescent="0.25">
      <c r="G47">
        <v>8703.0059999999994</v>
      </c>
      <c r="H47">
        <v>147627.893019738</v>
      </c>
      <c r="I47">
        <v>303751.53287026001</v>
      </c>
      <c r="J47">
        <v>451379.42588999798</v>
      </c>
      <c r="K47">
        <v>303863.79767270799</v>
      </c>
      <c r="L47">
        <v>19.1551975538816</v>
      </c>
      <c r="N47">
        <v>8703.0059999999994</v>
      </c>
      <c r="O47">
        <v>590161.50913579797</v>
      </c>
      <c r="P47">
        <v>42087.098931504799</v>
      </c>
      <c r="Q47">
        <v>632248.60806730296</v>
      </c>
      <c r="S47">
        <v>8703.0059999999994</v>
      </c>
      <c r="T47">
        <v>82407.232124968097</v>
      </c>
      <c r="V47">
        <v>8703.0059999999994</v>
      </c>
      <c r="W47">
        <v>109870.319834968</v>
      </c>
    </row>
    <row r="48" spans="7:23" x14ac:dyDescent="0.25">
      <c r="G48">
        <v>8704.0059999999994</v>
      </c>
      <c r="H48">
        <v>147627.895019738</v>
      </c>
      <c r="I48">
        <v>303836.76087026001</v>
      </c>
      <c r="J48">
        <v>451464.65588999802</v>
      </c>
      <c r="K48">
        <v>303949.025672708</v>
      </c>
      <c r="L48">
        <v>19.1551975538816</v>
      </c>
      <c r="N48">
        <v>8704.0059999999994</v>
      </c>
      <c r="O48">
        <v>590283.77313579805</v>
      </c>
      <c r="P48">
        <v>42091.933931504798</v>
      </c>
      <c r="Q48">
        <v>632375.70806730306</v>
      </c>
      <c r="S48">
        <v>8704.0059999999994</v>
      </c>
      <c r="T48">
        <v>82407.232124968097</v>
      </c>
      <c r="V48">
        <v>8704.0059999999994</v>
      </c>
      <c r="W48">
        <v>109899.686834968</v>
      </c>
    </row>
    <row r="49" spans="7:23" x14ac:dyDescent="0.25">
      <c r="G49">
        <v>8705.0059999999994</v>
      </c>
      <c r="H49">
        <v>147627.895019738</v>
      </c>
      <c r="I49">
        <v>303947.47087025997</v>
      </c>
      <c r="J49">
        <v>451575.36588999798</v>
      </c>
      <c r="K49">
        <v>304059.73567270802</v>
      </c>
      <c r="L49">
        <v>19.1551975538816</v>
      </c>
      <c r="N49">
        <v>8705.0059999999994</v>
      </c>
      <c r="O49">
        <v>590438.13313579804</v>
      </c>
      <c r="P49">
        <v>42096.769931504801</v>
      </c>
      <c r="Q49">
        <v>632534.90306730301</v>
      </c>
      <c r="S49">
        <v>8705.0059999999994</v>
      </c>
      <c r="T49">
        <v>82407.232124968097</v>
      </c>
      <c r="V49">
        <v>8705.0059999999994</v>
      </c>
      <c r="W49">
        <v>109934.97283496799</v>
      </c>
    </row>
    <row r="50" spans="7:23" x14ac:dyDescent="0.25">
      <c r="G50">
        <v>8706.0059999999994</v>
      </c>
      <c r="H50">
        <v>147627.895019738</v>
      </c>
      <c r="I50">
        <v>304065.31087026</v>
      </c>
      <c r="J50">
        <v>451693.205889998</v>
      </c>
      <c r="K50">
        <v>304177.57567270799</v>
      </c>
      <c r="L50">
        <v>19.1551975538816</v>
      </c>
      <c r="N50">
        <v>8706.0059999999994</v>
      </c>
      <c r="O50">
        <v>590596.89613579796</v>
      </c>
      <c r="P50">
        <v>42101.6049315048</v>
      </c>
      <c r="Q50">
        <v>632698.501067303</v>
      </c>
      <c r="S50">
        <v>8706.0059999999994</v>
      </c>
      <c r="T50">
        <v>82407.232124968097</v>
      </c>
      <c r="V50">
        <v>8706.0059999999994</v>
      </c>
      <c r="W50">
        <v>109965.97983496801</v>
      </c>
    </row>
    <row r="51" spans="7:23" x14ac:dyDescent="0.25">
      <c r="G51">
        <v>8707.0059999999994</v>
      </c>
      <c r="H51">
        <v>147627.895019738</v>
      </c>
      <c r="I51">
        <v>304161.39087026002</v>
      </c>
      <c r="J51">
        <v>451789.28588999802</v>
      </c>
      <c r="K51">
        <v>304273.655672708</v>
      </c>
      <c r="L51">
        <v>19.1551975538816</v>
      </c>
      <c r="N51">
        <v>8707.0059999999994</v>
      </c>
      <c r="O51">
        <v>590714.73113579804</v>
      </c>
      <c r="P51">
        <v>42106.440931504803</v>
      </c>
      <c r="Q51">
        <v>632821.17206730298</v>
      </c>
      <c r="S51">
        <v>8707.0059999999994</v>
      </c>
      <c r="T51">
        <v>82407.232124968097</v>
      </c>
      <c r="V51">
        <v>8707.0059999999994</v>
      </c>
      <c r="W51">
        <v>109987.67283496801</v>
      </c>
    </row>
    <row r="52" spans="7:23" x14ac:dyDescent="0.25">
      <c r="G52">
        <v>8708.0059999999994</v>
      </c>
      <c r="H52">
        <v>147627.895019738</v>
      </c>
      <c r="I52">
        <v>304250.64087026002</v>
      </c>
      <c r="J52">
        <v>451878.53588999802</v>
      </c>
      <c r="K52">
        <v>304362.905672708</v>
      </c>
      <c r="L52">
        <v>19.1551975538816</v>
      </c>
      <c r="N52">
        <v>8708.0059999999994</v>
      </c>
      <c r="O52">
        <v>590800.75313579803</v>
      </c>
      <c r="P52">
        <v>42111.275931504802</v>
      </c>
      <c r="Q52">
        <v>632912.02906730305</v>
      </c>
      <c r="S52">
        <v>8708.0059999999994</v>
      </c>
      <c r="T52">
        <v>82407.232124968097</v>
      </c>
      <c r="V52">
        <v>8708.0059999999994</v>
      </c>
      <c r="W52">
        <v>110004.63183496799</v>
      </c>
    </row>
    <row r="53" spans="7:23" x14ac:dyDescent="0.25">
      <c r="G53">
        <v>8709.0059999999994</v>
      </c>
      <c r="H53">
        <v>147627.895019738</v>
      </c>
      <c r="I53">
        <v>304323.61087025999</v>
      </c>
      <c r="J53">
        <v>451951.50588999799</v>
      </c>
      <c r="K53">
        <v>304435.87567270797</v>
      </c>
      <c r="L53">
        <v>19.1551975538816</v>
      </c>
      <c r="N53">
        <v>8709.0059999999994</v>
      </c>
      <c r="O53">
        <v>590869.77713579801</v>
      </c>
      <c r="P53">
        <v>42116.110931504802</v>
      </c>
      <c r="Q53">
        <v>632985.88906730304</v>
      </c>
      <c r="S53">
        <v>8709.0059999999994</v>
      </c>
      <c r="T53">
        <v>82407.232124968097</v>
      </c>
      <c r="V53">
        <v>8709.0059999999994</v>
      </c>
      <c r="W53">
        <v>110018.037834968</v>
      </c>
    </row>
    <row r="54" spans="7:23" x14ac:dyDescent="0.25">
      <c r="G54">
        <v>8710.0059999999994</v>
      </c>
      <c r="H54">
        <v>147627.895019738</v>
      </c>
      <c r="I54">
        <v>304390.47087025997</v>
      </c>
      <c r="J54">
        <v>452018.36588999798</v>
      </c>
      <c r="K54">
        <v>304502.73567270802</v>
      </c>
      <c r="L54">
        <v>19.1551975538816</v>
      </c>
      <c r="N54">
        <v>8710.0059999999994</v>
      </c>
      <c r="O54">
        <v>590931.17713579803</v>
      </c>
      <c r="P54">
        <v>42120.946931504797</v>
      </c>
      <c r="Q54">
        <v>633052.12306730298</v>
      </c>
      <c r="S54">
        <v>8710.0059999999994</v>
      </c>
      <c r="T54">
        <v>82407.232124968097</v>
      </c>
      <c r="V54">
        <v>8710.0059999999994</v>
      </c>
      <c r="W54">
        <v>110029.310834968</v>
      </c>
    </row>
    <row r="55" spans="7:23" x14ac:dyDescent="0.25">
      <c r="G55">
        <v>8711.0059999999994</v>
      </c>
      <c r="H55">
        <v>147627.895019738</v>
      </c>
      <c r="I55">
        <v>304445.78087025997</v>
      </c>
      <c r="J55">
        <v>452073.67588999798</v>
      </c>
      <c r="K55">
        <v>304558.04567270802</v>
      </c>
      <c r="L55">
        <v>19.1551975538816</v>
      </c>
      <c r="N55">
        <v>8711.0059999999994</v>
      </c>
      <c r="O55">
        <v>590979.90613579797</v>
      </c>
      <c r="P55">
        <v>42125.781931504796</v>
      </c>
      <c r="Q55">
        <v>633105.68806730304</v>
      </c>
      <c r="S55">
        <v>8711.0059999999994</v>
      </c>
      <c r="T55">
        <v>82407.232124968097</v>
      </c>
      <c r="V55">
        <v>8711.0059999999994</v>
      </c>
      <c r="W55">
        <v>110038.242834968</v>
      </c>
    </row>
    <row r="56" spans="7:23" x14ac:dyDescent="0.25">
      <c r="G56">
        <v>8712.0059999999994</v>
      </c>
      <c r="H56">
        <v>147627.895019738</v>
      </c>
      <c r="I56">
        <v>304488.86087025999</v>
      </c>
      <c r="J56">
        <v>452116.75588999799</v>
      </c>
      <c r="K56">
        <v>304601.12567270797</v>
      </c>
      <c r="L56">
        <v>19.1551975538816</v>
      </c>
      <c r="N56">
        <v>8712.0059999999994</v>
      </c>
      <c r="O56">
        <v>591026.60213579796</v>
      </c>
      <c r="P56">
        <v>42130.616931504803</v>
      </c>
      <c r="Q56">
        <v>633157.22006730305</v>
      </c>
      <c r="S56">
        <v>8712.0059999999994</v>
      </c>
      <c r="T56">
        <v>82407.232124968097</v>
      </c>
      <c r="V56">
        <v>8712.0059999999994</v>
      </c>
      <c r="W56">
        <v>110045.00683496799</v>
      </c>
    </row>
    <row r="57" spans="7:23" x14ac:dyDescent="0.25">
      <c r="G57">
        <v>8713.0059999999994</v>
      </c>
      <c r="H57">
        <v>147627.895019738</v>
      </c>
      <c r="I57">
        <v>304524.03087025997</v>
      </c>
      <c r="J57">
        <v>452151.92588999798</v>
      </c>
      <c r="K57">
        <v>304636.29567270802</v>
      </c>
      <c r="L57">
        <v>19.1551975538816</v>
      </c>
      <c r="N57">
        <v>8713.0059999999994</v>
      </c>
      <c r="O57">
        <v>591064.30513579794</v>
      </c>
      <c r="P57">
        <v>42135.452931504798</v>
      </c>
      <c r="Q57">
        <v>633199.75706730306</v>
      </c>
      <c r="S57">
        <v>8713.0059999999994</v>
      </c>
      <c r="T57">
        <v>82407.232124968097</v>
      </c>
      <c r="V57">
        <v>8713.0059999999994</v>
      </c>
      <c r="W57">
        <v>110049.97583496801</v>
      </c>
    </row>
    <row r="58" spans="7:23" x14ac:dyDescent="0.25">
      <c r="G58">
        <v>8714.0059999999994</v>
      </c>
      <c r="H58">
        <v>147627.895019738</v>
      </c>
      <c r="I58">
        <v>304557.90087026003</v>
      </c>
      <c r="J58">
        <v>452185.79588999797</v>
      </c>
      <c r="K58">
        <v>304670.16567270801</v>
      </c>
      <c r="L58">
        <v>19.1551975538816</v>
      </c>
      <c r="N58">
        <v>8714.0059999999994</v>
      </c>
      <c r="O58">
        <v>591100.33513579797</v>
      </c>
      <c r="P58">
        <v>42140.287931504798</v>
      </c>
      <c r="Q58">
        <v>633240.62406730303</v>
      </c>
      <c r="S58">
        <v>8714.0059999999994</v>
      </c>
      <c r="T58">
        <v>82407.232124968097</v>
      </c>
      <c r="V58">
        <v>8714.0059999999994</v>
      </c>
      <c r="W58">
        <v>110054.93483496799</v>
      </c>
    </row>
    <row r="59" spans="7:23" x14ac:dyDescent="0.25">
      <c r="G59">
        <v>8715.0059999999994</v>
      </c>
      <c r="H59">
        <v>147627.895019738</v>
      </c>
      <c r="I59">
        <v>304589.53087025997</v>
      </c>
      <c r="J59">
        <v>452217.42588999798</v>
      </c>
      <c r="K59">
        <v>304701.79567270802</v>
      </c>
      <c r="L59">
        <v>19.1551975538816</v>
      </c>
      <c r="N59">
        <v>8715.0059999999994</v>
      </c>
      <c r="O59">
        <v>591133.13413579797</v>
      </c>
      <c r="P59">
        <v>42145.123931504801</v>
      </c>
      <c r="Q59">
        <v>633278.25706730306</v>
      </c>
      <c r="S59">
        <v>8715.0059999999994</v>
      </c>
      <c r="T59">
        <v>82407.232124968097</v>
      </c>
      <c r="V59">
        <v>8715.0059999999994</v>
      </c>
      <c r="W59">
        <v>110060.068834968</v>
      </c>
    </row>
    <row r="60" spans="7:23" x14ac:dyDescent="0.25">
      <c r="G60">
        <v>8716.0059999999994</v>
      </c>
      <c r="H60">
        <v>147627.895019738</v>
      </c>
      <c r="I60">
        <v>304620.58087026002</v>
      </c>
      <c r="J60">
        <v>452248.47588999802</v>
      </c>
      <c r="K60">
        <v>304732.845672708</v>
      </c>
      <c r="L60">
        <v>19.1551975538816</v>
      </c>
      <c r="N60">
        <v>8716.0059999999994</v>
      </c>
      <c r="O60">
        <v>591165.60913579795</v>
      </c>
      <c r="P60">
        <v>42149.9589315048</v>
      </c>
      <c r="Q60">
        <v>633315.56806730304</v>
      </c>
      <c r="S60">
        <v>8716.0059999999994</v>
      </c>
      <c r="T60">
        <v>82407.232124968097</v>
      </c>
      <c r="V60">
        <v>8716.0059999999994</v>
      </c>
      <c r="W60">
        <v>110064.471834968</v>
      </c>
    </row>
    <row r="61" spans="7:23" x14ac:dyDescent="0.25">
      <c r="G61">
        <v>8717.0059999999994</v>
      </c>
      <c r="H61">
        <v>147627.895019738</v>
      </c>
      <c r="I61">
        <v>304654.09087026003</v>
      </c>
      <c r="J61">
        <v>452281.98588999797</v>
      </c>
      <c r="K61">
        <v>304766.405672708</v>
      </c>
      <c r="L61">
        <v>19.1551975538816</v>
      </c>
      <c r="N61">
        <v>8717.0059999999994</v>
      </c>
      <c r="O61">
        <v>591201.43513579795</v>
      </c>
      <c r="P61">
        <v>42154.793931504799</v>
      </c>
      <c r="Q61">
        <v>633356.22906730301</v>
      </c>
      <c r="S61">
        <v>8717.0059999999994</v>
      </c>
      <c r="T61">
        <v>82407.232124968097</v>
      </c>
      <c r="V61">
        <v>8717.0059999999994</v>
      </c>
      <c r="W61">
        <v>110069.026834968</v>
      </c>
    </row>
    <row r="62" spans="7:23" x14ac:dyDescent="0.25">
      <c r="G62">
        <v>8718.0059999999994</v>
      </c>
      <c r="H62">
        <v>147627.895019738</v>
      </c>
      <c r="I62">
        <v>304695.11087025999</v>
      </c>
      <c r="J62">
        <v>452323.00588999799</v>
      </c>
      <c r="K62">
        <v>304807.42567270802</v>
      </c>
      <c r="L62">
        <v>19.1551975538816</v>
      </c>
      <c r="N62">
        <v>8718.0059999999994</v>
      </c>
      <c r="O62">
        <v>591245.68413579802</v>
      </c>
      <c r="P62">
        <v>42159.629931504802</v>
      </c>
      <c r="Q62">
        <v>633405.31406730297</v>
      </c>
      <c r="S62">
        <v>8718.0059999999994</v>
      </c>
      <c r="T62">
        <v>82407.232124968097</v>
      </c>
      <c r="V62">
        <v>8718.0059999999994</v>
      </c>
      <c r="W62">
        <v>110075.17383496799</v>
      </c>
    </row>
    <row r="63" spans="7:23" x14ac:dyDescent="0.25">
      <c r="G63">
        <v>8719.0059999999994</v>
      </c>
      <c r="H63">
        <v>147627.895019738</v>
      </c>
      <c r="I63">
        <v>304742.45087026001</v>
      </c>
      <c r="J63">
        <v>452370.34588999802</v>
      </c>
      <c r="K63">
        <v>304854.845672708</v>
      </c>
      <c r="L63">
        <v>19.1551975538816</v>
      </c>
      <c r="N63">
        <v>8719.0059999999994</v>
      </c>
      <c r="O63">
        <v>591296.76613579795</v>
      </c>
      <c r="P63">
        <v>42164.464931504801</v>
      </c>
      <c r="Q63">
        <v>633461.23106730299</v>
      </c>
      <c r="S63">
        <v>8719.0059999999994</v>
      </c>
      <c r="T63">
        <v>82407.232124968097</v>
      </c>
      <c r="V63">
        <v>8719.0059999999994</v>
      </c>
      <c r="W63">
        <v>110083.879834968</v>
      </c>
    </row>
    <row r="64" spans="7:23" x14ac:dyDescent="0.25">
      <c r="G64">
        <v>8720.0059999999994</v>
      </c>
      <c r="H64">
        <v>147627.90201973799</v>
      </c>
      <c r="I64">
        <v>304803.55387026002</v>
      </c>
      <c r="J64">
        <v>452431.455889998</v>
      </c>
      <c r="K64">
        <v>304915.94867270801</v>
      </c>
      <c r="L64">
        <v>19.1551975538816</v>
      </c>
      <c r="N64">
        <v>8720.0059999999994</v>
      </c>
      <c r="O64">
        <v>591362.95213579806</v>
      </c>
      <c r="P64">
        <v>42169.2999315048</v>
      </c>
      <c r="Q64">
        <v>633532.25306730298</v>
      </c>
      <c r="S64">
        <v>8720.0059999999994</v>
      </c>
      <c r="T64">
        <v>82407.232124968097</v>
      </c>
      <c r="V64">
        <v>8720.0059999999994</v>
      </c>
      <c r="W64">
        <v>110096.71183496799</v>
      </c>
    </row>
    <row r="65" spans="7:23" x14ac:dyDescent="0.25">
      <c r="G65">
        <v>8721.0059999999994</v>
      </c>
      <c r="H65">
        <v>147628.65301973801</v>
      </c>
      <c r="I65">
        <v>304869.70287025999</v>
      </c>
      <c r="J65">
        <v>452498.35588999803</v>
      </c>
      <c r="K65">
        <v>304982.09767270798</v>
      </c>
      <c r="L65">
        <v>19.1551975538816</v>
      </c>
      <c r="N65">
        <v>8721.0059999999994</v>
      </c>
      <c r="O65">
        <v>591435.196135798</v>
      </c>
      <c r="P65">
        <v>42174.135931504803</v>
      </c>
      <c r="Q65">
        <v>633609.33206730301</v>
      </c>
      <c r="S65">
        <v>8721.0059999999994</v>
      </c>
      <c r="T65">
        <v>82407.232124968097</v>
      </c>
      <c r="V65">
        <v>8721.0059999999994</v>
      </c>
      <c r="W65">
        <v>110110.51483496799</v>
      </c>
    </row>
    <row r="66" spans="7:23" x14ac:dyDescent="0.25">
      <c r="G66">
        <v>8722.0059999999994</v>
      </c>
      <c r="H66">
        <v>147631.588019738</v>
      </c>
      <c r="I66">
        <v>304929.97787026002</v>
      </c>
      <c r="J66">
        <v>452561.56588999799</v>
      </c>
      <c r="K66">
        <v>305042.37267270801</v>
      </c>
      <c r="L66">
        <v>19.1551975539216</v>
      </c>
      <c r="N66">
        <v>8722.0059999999994</v>
      </c>
      <c r="O66">
        <v>591501.02613579796</v>
      </c>
      <c r="P66">
        <v>42178.970931504802</v>
      </c>
      <c r="Q66">
        <v>633679.99706730305</v>
      </c>
      <c r="S66">
        <v>8722.0059999999994</v>
      </c>
      <c r="T66">
        <v>82407.252124968101</v>
      </c>
      <c r="V66">
        <v>8722.0059999999994</v>
      </c>
      <c r="W66">
        <v>110122.830834968</v>
      </c>
    </row>
    <row r="67" spans="7:23" x14ac:dyDescent="0.25">
      <c r="G67">
        <v>8723.0059999999994</v>
      </c>
      <c r="H67">
        <v>147636.35801973799</v>
      </c>
      <c r="I67">
        <v>304989.36787025997</v>
      </c>
      <c r="J67">
        <v>452625.72588999802</v>
      </c>
      <c r="K67">
        <v>305101.76267270802</v>
      </c>
      <c r="L67">
        <v>19.155197553912501</v>
      </c>
      <c r="N67">
        <v>8723.0059999999994</v>
      </c>
      <c r="O67">
        <v>591565.93213579804</v>
      </c>
      <c r="P67">
        <v>42183.806931504798</v>
      </c>
      <c r="Q67">
        <v>633749.73906730302</v>
      </c>
      <c r="S67">
        <v>8723.0059999999994</v>
      </c>
      <c r="T67">
        <v>82407.344124968105</v>
      </c>
      <c r="V67">
        <v>8723.0059999999994</v>
      </c>
      <c r="W67">
        <v>110135.238834968</v>
      </c>
    </row>
    <row r="68" spans="7:23" x14ac:dyDescent="0.25">
      <c r="G68">
        <v>8724.0059999999994</v>
      </c>
      <c r="H68">
        <v>147641.428019738</v>
      </c>
      <c r="I68">
        <v>305047.48787026003</v>
      </c>
      <c r="J68">
        <v>452688.91588999802</v>
      </c>
      <c r="K68">
        <v>305159.88267270802</v>
      </c>
      <c r="L68">
        <v>19.1551975539148</v>
      </c>
      <c r="N68">
        <v>8724.0059999999994</v>
      </c>
      <c r="O68">
        <v>591630.36213579797</v>
      </c>
      <c r="P68">
        <v>42188.641931504797</v>
      </c>
      <c r="Q68">
        <v>633819.00406730303</v>
      </c>
      <c r="S68">
        <v>8724.0059999999994</v>
      </c>
      <c r="T68">
        <v>82407.409124968093</v>
      </c>
      <c r="V68">
        <v>8724.0059999999994</v>
      </c>
      <c r="W68">
        <v>110147.768834968</v>
      </c>
    </row>
    <row r="69" spans="7:23" x14ac:dyDescent="0.25">
      <c r="G69">
        <v>8725.0059999999994</v>
      </c>
      <c r="H69">
        <v>147645.72501973799</v>
      </c>
      <c r="I69">
        <v>305109.84087026003</v>
      </c>
      <c r="J69">
        <v>452755.56588999799</v>
      </c>
      <c r="K69">
        <v>305222.23567270802</v>
      </c>
      <c r="L69">
        <v>19.1551975539161</v>
      </c>
      <c r="N69">
        <v>8725.0059999999994</v>
      </c>
      <c r="O69">
        <v>591699.669135798</v>
      </c>
      <c r="P69">
        <v>42193.476931504803</v>
      </c>
      <c r="Q69">
        <v>633893.14606730302</v>
      </c>
      <c r="S69">
        <v>8725.0059999999994</v>
      </c>
      <c r="T69">
        <v>82407.443124968093</v>
      </c>
      <c r="V69">
        <v>8725.0059999999994</v>
      </c>
      <c r="W69">
        <v>110162.145834968</v>
      </c>
    </row>
    <row r="70" spans="7:23" x14ac:dyDescent="0.25">
      <c r="G70">
        <v>8726.0059999999994</v>
      </c>
      <c r="H70">
        <v>147648.132019738</v>
      </c>
      <c r="I70">
        <v>305170.82387025998</v>
      </c>
      <c r="J70">
        <v>452818.955889998</v>
      </c>
      <c r="K70">
        <v>305283.21867270803</v>
      </c>
      <c r="L70">
        <v>19.1551975539161</v>
      </c>
      <c r="N70">
        <v>8726.0059999999994</v>
      </c>
      <c r="O70">
        <v>591767.81813579798</v>
      </c>
      <c r="P70">
        <v>42198.312931504799</v>
      </c>
      <c r="Q70">
        <v>633966.13106730301</v>
      </c>
      <c r="S70">
        <v>8726.0059999999994</v>
      </c>
      <c r="T70">
        <v>82407.443124968093</v>
      </c>
      <c r="V70">
        <v>8726.0059999999994</v>
      </c>
      <c r="W70">
        <v>110177.084834968</v>
      </c>
    </row>
    <row r="71" spans="7:23" x14ac:dyDescent="0.25">
      <c r="G71">
        <v>8727.0059999999994</v>
      </c>
      <c r="H71">
        <v>147648.47501973799</v>
      </c>
      <c r="I71">
        <v>305247.97087025997</v>
      </c>
      <c r="J71">
        <v>452896.44588999799</v>
      </c>
      <c r="K71">
        <v>305360.36567270802</v>
      </c>
      <c r="L71">
        <v>19.1551975539161</v>
      </c>
      <c r="N71">
        <v>8727.0059999999994</v>
      </c>
      <c r="O71">
        <v>591853.28313579794</v>
      </c>
      <c r="P71">
        <v>42203.147931504798</v>
      </c>
      <c r="Q71">
        <v>634056.43106730306</v>
      </c>
      <c r="S71">
        <v>8727.0059999999994</v>
      </c>
      <c r="T71">
        <v>82407.443124968093</v>
      </c>
      <c r="V71">
        <v>8727.0059999999994</v>
      </c>
      <c r="W71">
        <v>110198.834834968</v>
      </c>
    </row>
    <row r="72" spans="7:23" x14ac:dyDescent="0.25">
      <c r="G72">
        <v>8728.0059999999994</v>
      </c>
      <c r="H72">
        <v>147648.477019738</v>
      </c>
      <c r="I72">
        <v>305332.67887026002</v>
      </c>
      <c r="J72">
        <v>452981.15588999802</v>
      </c>
      <c r="K72">
        <v>305445.07367270801</v>
      </c>
      <c r="L72">
        <v>19.1551975539161</v>
      </c>
      <c r="N72">
        <v>8728.0059999999994</v>
      </c>
      <c r="O72">
        <v>591952.620135798</v>
      </c>
      <c r="P72">
        <v>42207.982931504797</v>
      </c>
      <c r="Q72">
        <v>634160.60406730301</v>
      </c>
      <c r="S72">
        <v>8728.0059999999994</v>
      </c>
      <c r="T72">
        <v>82407.443124968093</v>
      </c>
      <c r="V72">
        <v>8728.0059999999994</v>
      </c>
      <c r="W72">
        <v>110224.147834968</v>
      </c>
    </row>
    <row r="73" spans="7:23" x14ac:dyDescent="0.25">
      <c r="G73">
        <v>8729.0059999999994</v>
      </c>
      <c r="H73">
        <v>147648.477019738</v>
      </c>
      <c r="I73">
        <v>305441.46887026</v>
      </c>
      <c r="J73">
        <v>453089.94588999799</v>
      </c>
      <c r="K73">
        <v>305553.86367270799</v>
      </c>
      <c r="L73">
        <v>19.1551975539161</v>
      </c>
      <c r="N73">
        <v>8729.0059999999994</v>
      </c>
      <c r="O73">
        <v>592086.69213579805</v>
      </c>
      <c r="P73">
        <v>42212.8189315048</v>
      </c>
      <c r="Q73">
        <v>634299.51106730301</v>
      </c>
      <c r="S73">
        <v>8729.0059999999994</v>
      </c>
      <c r="T73">
        <v>82407.443124968093</v>
      </c>
      <c r="V73">
        <v>8729.0059999999994</v>
      </c>
      <c r="W73">
        <v>110258.38583496799</v>
      </c>
    </row>
    <row r="74" spans="7:23" x14ac:dyDescent="0.25">
      <c r="G74">
        <v>8730.0059999999994</v>
      </c>
      <c r="H74">
        <v>147648.477019738</v>
      </c>
      <c r="I74">
        <v>305547.28887026</v>
      </c>
      <c r="J74">
        <v>453195.765889998</v>
      </c>
      <c r="K74">
        <v>305659.68367270799</v>
      </c>
      <c r="L74">
        <v>19.1551975539161</v>
      </c>
      <c r="N74">
        <v>8730.0059999999994</v>
      </c>
      <c r="O74">
        <v>592214.262135798</v>
      </c>
      <c r="P74">
        <v>42217.653931504799</v>
      </c>
      <c r="Q74">
        <v>634431.91606730304</v>
      </c>
      <c r="S74">
        <v>8730.0059999999994</v>
      </c>
      <c r="T74">
        <v>82407.443124968093</v>
      </c>
      <c r="V74">
        <v>8730.0059999999994</v>
      </c>
      <c r="W74">
        <v>110290.204834968</v>
      </c>
    </row>
    <row r="75" spans="7:23" x14ac:dyDescent="0.25">
      <c r="G75">
        <v>8731.0059999999994</v>
      </c>
      <c r="H75">
        <v>147648.477019738</v>
      </c>
      <c r="I75">
        <v>305636.09887026</v>
      </c>
      <c r="J75">
        <v>453284.575889998</v>
      </c>
      <c r="K75">
        <v>305748.49367270799</v>
      </c>
      <c r="L75">
        <v>19.1551975539161</v>
      </c>
      <c r="N75">
        <v>8731.0059999999994</v>
      </c>
      <c r="O75">
        <v>592319.93513579795</v>
      </c>
      <c r="P75">
        <v>42222.489931504802</v>
      </c>
      <c r="Q75">
        <v>634542.42406730296</v>
      </c>
      <c r="S75">
        <v>8731.0059999999994</v>
      </c>
      <c r="T75">
        <v>82407.443124968093</v>
      </c>
      <c r="V75">
        <v>8731.0059999999994</v>
      </c>
      <c r="W75">
        <v>110315.394834968</v>
      </c>
    </row>
    <row r="76" spans="7:23" x14ac:dyDescent="0.25">
      <c r="G76">
        <v>8732.0059999999994</v>
      </c>
      <c r="H76">
        <v>147648.477019738</v>
      </c>
      <c r="I76">
        <v>305725.69887025998</v>
      </c>
      <c r="J76">
        <v>453374.17588999798</v>
      </c>
      <c r="K76">
        <v>305838.09367270803</v>
      </c>
      <c r="L76">
        <v>19.1551975539161</v>
      </c>
      <c r="N76">
        <v>8732.0059999999994</v>
      </c>
      <c r="O76">
        <v>592426.34613579803</v>
      </c>
      <c r="P76">
        <v>42227.324931504801</v>
      </c>
      <c r="Q76">
        <v>634653.67106730305</v>
      </c>
      <c r="S76">
        <v>8732.0059999999994</v>
      </c>
      <c r="T76">
        <v>82407.443124968093</v>
      </c>
      <c r="V76">
        <v>8732.0059999999994</v>
      </c>
      <c r="W76">
        <v>110336.243834968</v>
      </c>
    </row>
    <row r="77" spans="7:23" x14ac:dyDescent="0.25">
      <c r="G77">
        <v>8733.0059999999994</v>
      </c>
      <c r="H77">
        <v>147648.477019738</v>
      </c>
      <c r="I77">
        <v>305809.50887025998</v>
      </c>
      <c r="J77">
        <v>453457.98588999797</v>
      </c>
      <c r="K77">
        <v>305921.90367270802</v>
      </c>
      <c r="L77">
        <v>19.1551975539161</v>
      </c>
      <c r="N77">
        <v>8733.0059999999994</v>
      </c>
      <c r="O77">
        <v>592526.19413579802</v>
      </c>
      <c r="P77">
        <v>42232.159931504801</v>
      </c>
      <c r="Q77">
        <v>634758.35506730305</v>
      </c>
      <c r="S77">
        <v>8733.0059999999994</v>
      </c>
      <c r="T77">
        <v>82407.443124968093</v>
      </c>
      <c r="V77">
        <v>8733.0059999999994</v>
      </c>
      <c r="W77">
        <v>110355.96083496801</v>
      </c>
    </row>
    <row r="78" spans="7:23" x14ac:dyDescent="0.25">
      <c r="G78">
        <v>8734.0059999999994</v>
      </c>
      <c r="H78">
        <v>147648.477019738</v>
      </c>
      <c r="I78">
        <v>305880.51887025998</v>
      </c>
      <c r="J78">
        <v>453528.99588999798</v>
      </c>
      <c r="K78">
        <v>305992.91367270797</v>
      </c>
      <c r="L78">
        <v>19.1551975539161</v>
      </c>
      <c r="N78">
        <v>8734.0059999999994</v>
      </c>
      <c r="O78">
        <v>592605.01913579798</v>
      </c>
      <c r="P78">
        <v>42236.995931504804</v>
      </c>
      <c r="Q78">
        <v>634842.01506730297</v>
      </c>
      <c r="S78">
        <v>8734.0059999999994</v>
      </c>
      <c r="T78">
        <v>82407.443124968093</v>
      </c>
      <c r="V78">
        <v>8734.0059999999994</v>
      </c>
      <c r="W78">
        <v>110370.59783496799</v>
      </c>
    </row>
    <row r="79" spans="7:23" x14ac:dyDescent="0.25">
      <c r="G79">
        <v>8735.0059999999994</v>
      </c>
      <c r="H79">
        <v>147648.477019738</v>
      </c>
      <c r="I79">
        <v>305939.16887026001</v>
      </c>
      <c r="J79">
        <v>453587.64588999801</v>
      </c>
      <c r="K79">
        <v>306051.563672708</v>
      </c>
      <c r="L79">
        <v>19.1551975539161</v>
      </c>
      <c r="N79">
        <v>8735.0059999999994</v>
      </c>
      <c r="O79">
        <v>592668.46113579802</v>
      </c>
      <c r="P79">
        <v>42241.830931504803</v>
      </c>
      <c r="Q79">
        <v>634910.29206730297</v>
      </c>
      <c r="S79">
        <v>8735.0059999999994</v>
      </c>
      <c r="T79">
        <v>82407.443124968093</v>
      </c>
      <c r="V79">
        <v>8735.0059999999994</v>
      </c>
      <c r="W79">
        <v>110382.727834968</v>
      </c>
    </row>
    <row r="80" spans="7:23" x14ac:dyDescent="0.25">
      <c r="G80">
        <v>8736.0059999999994</v>
      </c>
      <c r="H80">
        <v>147648.477019738</v>
      </c>
      <c r="I80">
        <v>305983.89887025999</v>
      </c>
      <c r="J80">
        <v>453632.37588999799</v>
      </c>
      <c r="K80">
        <v>306096.29367270798</v>
      </c>
      <c r="L80">
        <v>19.1551975539161</v>
      </c>
      <c r="N80">
        <v>8736.0059999999994</v>
      </c>
      <c r="O80">
        <v>592718.647135798</v>
      </c>
      <c r="P80">
        <v>42246.665931504802</v>
      </c>
      <c r="Q80">
        <v>634965.31306730304</v>
      </c>
      <c r="S80">
        <v>8736.0059999999994</v>
      </c>
      <c r="T80">
        <v>82407.443124968093</v>
      </c>
      <c r="V80">
        <v>8736.0059999999994</v>
      </c>
      <c r="W80">
        <v>110391.284834968</v>
      </c>
    </row>
    <row r="81" spans="7:23" x14ac:dyDescent="0.25">
      <c r="G81">
        <v>8737.0059999999994</v>
      </c>
      <c r="H81">
        <v>147648.477019738</v>
      </c>
      <c r="I81">
        <v>306020.43887026003</v>
      </c>
      <c r="J81">
        <v>453668.91588999802</v>
      </c>
      <c r="K81">
        <v>306132.83367270802</v>
      </c>
      <c r="L81">
        <v>19.1551975539161</v>
      </c>
      <c r="N81">
        <v>8737.0059999999994</v>
      </c>
      <c r="O81">
        <v>592757.84513579798</v>
      </c>
      <c r="P81">
        <v>42251.501931504798</v>
      </c>
      <c r="Q81">
        <v>635009.34706730302</v>
      </c>
      <c r="S81">
        <v>8737.0059999999994</v>
      </c>
      <c r="T81">
        <v>82407.443124968093</v>
      </c>
      <c r="V81">
        <v>8737.0059999999994</v>
      </c>
      <c r="W81">
        <v>110398.02183496801</v>
      </c>
    </row>
    <row r="82" spans="7:23" x14ac:dyDescent="0.25">
      <c r="G82">
        <v>8738.0059999999994</v>
      </c>
      <c r="H82">
        <v>147648.477019738</v>
      </c>
      <c r="I82">
        <v>306053.97887026001</v>
      </c>
      <c r="J82">
        <v>453702.455889998</v>
      </c>
      <c r="K82">
        <v>306166.373672708</v>
      </c>
      <c r="L82">
        <v>19.1551975539161</v>
      </c>
      <c r="N82">
        <v>8738.0059999999994</v>
      </c>
      <c r="O82">
        <v>592792.92413579801</v>
      </c>
      <c r="P82">
        <v>42256.336931504797</v>
      </c>
      <c r="Q82">
        <v>635049.26206730295</v>
      </c>
      <c r="S82">
        <v>8738.0059999999994</v>
      </c>
      <c r="T82">
        <v>82407.443124968093</v>
      </c>
      <c r="V82">
        <v>8738.0059999999994</v>
      </c>
      <c r="W82">
        <v>110404.262834968</v>
      </c>
    </row>
    <row r="83" spans="7:23" x14ac:dyDescent="0.25">
      <c r="G83">
        <v>8739.0059999999994</v>
      </c>
      <c r="H83">
        <v>147648.477019738</v>
      </c>
      <c r="I83">
        <v>306083.49887026002</v>
      </c>
      <c r="J83">
        <v>453731.97588999802</v>
      </c>
      <c r="K83">
        <v>306195.89367270801</v>
      </c>
      <c r="L83">
        <v>19.1551975539161</v>
      </c>
      <c r="N83">
        <v>8739.0059999999994</v>
      </c>
      <c r="O83">
        <v>592823.79913579801</v>
      </c>
      <c r="P83">
        <v>42261.1729315048</v>
      </c>
      <c r="Q83">
        <v>635084.97206730302</v>
      </c>
      <c r="S83">
        <v>8739.0059999999994</v>
      </c>
      <c r="T83">
        <v>82407.443124968093</v>
      </c>
      <c r="V83">
        <v>8739.0059999999994</v>
      </c>
      <c r="W83">
        <v>110409.73383496801</v>
      </c>
    </row>
    <row r="84" spans="7:23" x14ac:dyDescent="0.25">
      <c r="G84">
        <v>8740.0059999999994</v>
      </c>
      <c r="H84">
        <v>147648.477019738</v>
      </c>
      <c r="I84">
        <v>306112.45887025999</v>
      </c>
      <c r="J84">
        <v>453760.93588999799</v>
      </c>
      <c r="K84">
        <v>306224.85367270798</v>
      </c>
      <c r="L84">
        <v>19.1551975539161</v>
      </c>
      <c r="N84">
        <v>8740.0059999999994</v>
      </c>
      <c r="O84">
        <v>592855.60113579803</v>
      </c>
      <c r="P84">
        <v>42266.007931504799</v>
      </c>
      <c r="Q84">
        <v>635121.60806730296</v>
      </c>
      <c r="S84">
        <v>8740.0059999999994</v>
      </c>
      <c r="T84">
        <v>82407.443124968093</v>
      </c>
      <c r="V84">
        <v>8740.0059999999994</v>
      </c>
      <c r="W84">
        <v>110415.012834968</v>
      </c>
    </row>
    <row r="85" spans="7:23" x14ac:dyDescent="0.25">
      <c r="G85">
        <v>8741.0059999999994</v>
      </c>
      <c r="H85">
        <v>147648.477019738</v>
      </c>
      <c r="I85">
        <v>306143.35887026001</v>
      </c>
      <c r="J85">
        <v>453791.83588999801</v>
      </c>
      <c r="K85">
        <v>306255.753672708</v>
      </c>
      <c r="L85">
        <v>19.1551975539161</v>
      </c>
      <c r="N85">
        <v>8741.0059999999994</v>
      </c>
      <c r="O85">
        <v>592890.01613579795</v>
      </c>
      <c r="P85">
        <v>42270.842931504798</v>
      </c>
      <c r="Q85">
        <v>635160.86006730294</v>
      </c>
      <c r="S85">
        <v>8741.0059999999994</v>
      </c>
      <c r="T85">
        <v>82407.443124968093</v>
      </c>
      <c r="V85">
        <v>8741.0059999999994</v>
      </c>
      <c r="W85">
        <v>110420.655834968</v>
      </c>
    </row>
    <row r="86" spans="7:23" x14ac:dyDescent="0.25">
      <c r="G86">
        <v>8742.0059999999994</v>
      </c>
      <c r="H86">
        <v>147648.477019738</v>
      </c>
      <c r="I86">
        <v>306180.26887025998</v>
      </c>
      <c r="J86">
        <v>453828.74588999798</v>
      </c>
      <c r="K86">
        <v>306292.66367270797</v>
      </c>
      <c r="L86">
        <v>19.1551975539161</v>
      </c>
      <c r="N86">
        <v>8742.0059999999994</v>
      </c>
      <c r="O86">
        <v>592932.55813579797</v>
      </c>
      <c r="P86">
        <v>42275.678931504801</v>
      </c>
      <c r="Q86">
        <v>635208.23606730299</v>
      </c>
      <c r="S86">
        <v>8742.0059999999994</v>
      </c>
      <c r="T86">
        <v>82407.443124968093</v>
      </c>
      <c r="V86">
        <v>8742.0059999999994</v>
      </c>
      <c r="W86">
        <v>110427.456834968</v>
      </c>
    </row>
    <row r="87" spans="7:23" x14ac:dyDescent="0.25">
      <c r="G87">
        <v>8743.0059999999994</v>
      </c>
      <c r="H87">
        <v>147648.477019738</v>
      </c>
      <c r="I87">
        <v>306225.49887026002</v>
      </c>
      <c r="J87">
        <v>453873.97588999802</v>
      </c>
      <c r="K87">
        <v>306337.89367270801</v>
      </c>
      <c r="L87">
        <v>19.1551975539161</v>
      </c>
      <c r="N87">
        <v>8743.0059999999994</v>
      </c>
      <c r="O87">
        <v>592986.47713579796</v>
      </c>
      <c r="P87">
        <v>42280.5139315048</v>
      </c>
      <c r="Q87">
        <v>635266.991067303</v>
      </c>
      <c r="S87">
        <v>8743.0059999999994</v>
      </c>
      <c r="T87">
        <v>82407.443124968093</v>
      </c>
      <c r="V87">
        <v>8743.0059999999994</v>
      </c>
      <c r="W87">
        <v>110436.071834968</v>
      </c>
    </row>
    <row r="88" spans="7:23" x14ac:dyDescent="0.25">
      <c r="G88">
        <v>8744.0059999999994</v>
      </c>
      <c r="H88">
        <v>147648.477019738</v>
      </c>
      <c r="I88">
        <v>306281.82887025998</v>
      </c>
      <c r="J88">
        <v>453930.30588999798</v>
      </c>
      <c r="K88">
        <v>306394.22367270797</v>
      </c>
      <c r="L88">
        <v>19.1551975539161</v>
      </c>
      <c r="N88">
        <v>8744.0059999999994</v>
      </c>
      <c r="O88">
        <v>593055.68713579804</v>
      </c>
      <c r="P88">
        <v>42285.348931504799</v>
      </c>
      <c r="Q88">
        <v>635341.03706730297</v>
      </c>
      <c r="S88">
        <v>8744.0059999999994</v>
      </c>
      <c r="T88">
        <v>82407.443124968093</v>
      </c>
      <c r="V88">
        <v>8744.0059999999994</v>
      </c>
      <c r="W88">
        <v>110448.503834968</v>
      </c>
    </row>
    <row r="89" spans="7:23" x14ac:dyDescent="0.25">
      <c r="G89">
        <v>8745.0059999999994</v>
      </c>
      <c r="H89">
        <v>147648.477019738</v>
      </c>
      <c r="I89">
        <v>306341.13887025998</v>
      </c>
      <c r="J89">
        <v>453989.61588999798</v>
      </c>
      <c r="K89">
        <v>306453.53367270803</v>
      </c>
      <c r="L89">
        <v>19.1551975539161</v>
      </c>
      <c r="N89">
        <v>8745.0059999999994</v>
      </c>
      <c r="O89">
        <v>593128.69213579805</v>
      </c>
      <c r="P89">
        <v>42290.184931504802</v>
      </c>
      <c r="Q89">
        <v>635418.87706730305</v>
      </c>
      <c r="S89">
        <v>8745.0059999999994</v>
      </c>
      <c r="T89">
        <v>82407.443124968093</v>
      </c>
      <c r="V89">
        <v>8745.0059999999994</v>
      </c>
      <c r="W89">
        <v>110461.844834968</v>
      </c>
    </row>
    <row r="90" spans="7:23" x14ac:dyDescent="0.25">
      <c r="G90">
        <v>8746.0059999999994</v>
      </c>
      <c r="H90">
        <v>147648.477019738</v>
      </c>
      <c r="I90">
        <v>306399.95887025999</v>
      </c>
      <c r="J90">
        <v>454048.43588999799</v>
      </c>
      <c r="K90">
        <v>306512.35367270798</v>
      </c>
      <c r="L90">
        <v>19.1551975539161</v>
      </c>
      <c r="N90">
        <v>8746.0059999999994</v>
      </c>
      <c r="O90">
        <v>593201.620135798</v>
      </c>
      <c r="P90">
        <v>42295.019931504801</v>
      </c>
      <c r="Q90">
        <v>635496.64006730297</v>
      </c>
      <c r="S90">
        <v>8746.0059999999994</v>
      </c>
      <c r="T90">
        <v>82407.443124968093</v>
      </c>
      <c r="V90">
        <v>8746.0059999999994</v>
      </c>
      <c r="W90">
        <v>110474.821834968</v>
      </c>
    </row>
    <row r="91" spans="7:23" x14ac:dyDescent="0.25">
      <c r="G91">
        <v>8747.0059999999994</v>
      </c>
      <c r="H91">
        <v>147648.477019738</v>
      </c>
      <c r="I91">
        <v>306463.23887026001</v>
      </c>
      <c r="J91">
        <v>454111.71588999801</v>
      </c>
      <c r="K91">
        <v>306575.63367270801</v>
      </c>
      <c r="L91">
        <v>19.1551975539161</v>
      </c>
      <c r="N91">
        <v>8747.0059999999994</v>
      </c>
      <c r="O91">
        <v>593279.55913579802</v>
      </c>
      <c r="P91">
        <v>42299.855931504797</v>
      </c>
      <c r="Q91">
        <v>635579.41406730295</v>
      </c>
      <c r="S91">
        <v>8747.0059999999994</v>
      </c>
      <c r="T91">
        <v>82407.443124968093</v>
      </c>
      <c r="V91">
        <v>8747.0059999999994</v>
      </c>
      <c r="W91">
        <v>110488.82883496799</v>
      </c>
    </row>
    <row r="92" spans="7:23" x14ac:dyDescent="0.25">
      <c r="G92">
        <v>8748.0059999999994</v>
      </c>
      <c r="H92">
        <v>147655.458019738</v>
      </c>
      <c r="I92">
        <v>306524.51787026</v>
      </c>
      <c r="J92">
        <v>454179.97588999802</v>
      </c>
      <c r="K92">
        <v>306636.91267270799</v>
      </c>
      <c r="L92">
        <v>19.155197553855398</v>
      </c>
      <c r="N92">
        <v>8748.0059999999994</v>
      </c>
      <c r="O92">
        <v>593354.30113579798</v>
      </c>
      <c r="P92">
        <v>42304.690931504803</v>
      </c>
      <c r="Q92">
        <v>635658.99206730304</v>
      </c>
      <c r="S92">
        <v>8748.0059999999994</v>
      </c>
      <c r="T92">
        <v>82407.923124968103</v>
      </c>
      <c r="V92">
        <v>8748.0059999999994</v>
      </c>
      <c r="W92">
        <v>110502.224834968</v>
      </c>
    </row>
    <row r="93" spans="7:23" x14ac:dyDescent="0.25">
      <c r="G93">
        <v>8749.0059999999994</v>
      </c>
      <c r="H93">
        <v>147659.00201973799</v>
      </c>
      <c r="I93">
        <v>306588.94387025997</v>
      </c>
      <c r="J93">
        <v>454247.94588999799</v>
      </c>
      <c r="K93">
        <v>306701.33867270802</v>
      </c>
      <c r="L93">
        <v>19.155197553934599</v>
      </c>
      <c r="N93">
        <v>8749.0059999999994</v>
      </c>
      <c r="O93">
        <v>593432.45013579796</v>
      </c>
      <c r="P93">
        <v>42309.525931504802</v>
      </c>
      <c r="Q93">
        <v>635741.97606730298</v>
      </c>
      <c r="S93">
        <v>8749.0059999999994</v>
      </c>
      <c r="T93">
        <v>82407.925124968096</v>
      </c>
      <c r="V93">
        <v>8749.0059999999994</v>
      </c>
      <c r="W93">
        <v>110515.879834968</v>
      </c>
    </row>
    <row r="94" spans="7:23" x14ac:dyDescent="0.25">
      <c r="G94">
        <v>8750.0059999999994</v>
      </c>
      <c r="H94">
        <v>147664.25601973801</v>
      </c>
      <c r="I94">
        <v>306654.13987026003</v>
      </c>
      <c r="J94">
        <v>454318.39588999801</v>
      </c>
      <c r="K94">
        <v>306766.53467270802</v>
      </c>
      <c r="L94">
        <v>19.155197553876398</v>
      </c>
      <c r="N94">
        <v>8750.0059999999994</v>
      </c>
      <c r="O94">
        <v>593511.43413579802</v>
      </c>
      <c r="P94">
        <v>42314.361931504798</v>
      </c>
      <c r="Q94">
        <v>635825.79606730305</v>
      </c>
      <c r="S94">
        <v>8750.0059999999994</v>
      </c>
      <c r="T94">
        <v>82407.999124968104</v>
      </c>
      <c r="V94">
        <v>8750.0059999999994</v>
      </c>
      <c r="W94">
        <v>110529.633834968</v>
      </c>
    </row>
    <row r="95" spans="7:23" x14ac:dyDescent="0.25">
      <c r="G95">
        <v>8751.0059999999994</v>
      </c>
      <c r="H95">
        <v>147669.020019738</v>
      </c>
      <c r="I95">
        <v>306724.02587026003</v>
      </c>
      <c r="J95">
        <v>454393.04588999797</v>
      </c>
      <c r="K95">
        <v>306836.42067270802</v>
      </c>
      <c r="L95">
        <v>19.155197553885198</v>
      </c>
      <c r="N95">
        <v>8751.0059999999994</v>
      </c>
      <c r="O95">
        <v>593597.19713579805</v>
      </c>
      <c r="P95">
        <v>42319.196931504797</v>
      </c>
      <c r="Q95">
        <v>635916.39406730304</v>
      </c>
      <c r="S95">
        <v>8751.0059999999994</v>
      </c>
      <c r="T95">
        <v>82408.098124968106</v>
      </c>
      <c r="V95">
        <v>8751.0059999999994</v>
      </c>
      <c r="W95">
        <v>110543.304834968</v>
      </c>
    </row>
    <row r="96" spans="7:23" x14ac:dyDescent="0.25">
      <c r="G96">
        <v>8752.0059999999994</v>
      </c>
      <c r="H96">
        <v>147673.784019738</v>
      </c>
      <c r="I96">
        <v>306808.23187025997</v>
      </c>
      <c r="J96">
        <v>454482.015889998</v>
      </c>
      <c r="K96">
        <v>306920.62667270802</v>
      </c>
      <c r="L96">
        <v>19.155197553867499</v>
      </c>
      <c r="N96">
        <v>8752.0059999999994</v>
      </c>
      <c r="O96">
        <v>593702.29113579798</v>
      </c>
      <c r="P96">
        <v>42324.031931504796</v>
      </c>
      <c r="Q96">
        <v>636026.32406730298</v>
      </c>
      <c r="S96">
        <v>8752.0059999999994</v>
      </c>
      <c r="T96">
        <v>82408.108124968101</v>
      </c>
      <c r="V96">
        <v>8752.0059999999994</v>
      </c>
      <c r="W96">
        <v>110559.773834968</v>
      </c>
    </row>
    <row r="97" spans="7:23" x14ac:dyDescent="0.25">
      <c r="G97">
        <v>8753.0059999999994</v>
      </c>
      <c r="H97">
        <v>147678.54701973801</v>
      </c>
      <c r="I97">
        <v>306913.03887026</v>
      </c>
      <c r="J97">
        <v>454591.58588999801</v>
      </c>
      <c r="K97">
        <v>307025.43367270799</v>
      </c>
      <c r="L97">
        <v>19.155197553881401</v>
      </c>
      <c r="N97">
        <v>8753.0059999999994</v>
      </c>
      <c r="O97">
        <v>593833.25213579799</v>
      </c>
      <c r="P97">
        <v>42328.867931504799</v>
      </c>
      <c r="Q97">
        <v>636162.12006730295</v>
      </c>
      <c r="S97">
        <v>8753.0059999999994</v>
      </c>
      <c r="T97">
        <v>82408.150124968102</v>
      </c>
      <c r="V97">
        <v>8753.0059999999994</v>
      </c>
      <c r="W97">
        <v>110580.803834968</v>
      </c>
    </row>
    <row r="98" spans="7:23" x14ac:dyDescent="0.25">
      <c r="G98">
        <v>8754.0059999999994</v>
      </c>
      <c r="H98">
        <v>147683.311019738</v>
      </c>
      <c r="I98">
        <v>307016.50487026002</v>
      </c>
      <c r="J98">
        <v>454699.81588999799</v>
      </c>
      <c r="K98">
        <v>307128.89967270801</v>
      </c>
      <c r="L98">
        <v>19.155197553881798</v>
      </c>
      <c r="N98">
        <v>8754.0059999999994</v>
      </c>
      <c r="O98">
        <v>593960.30013579805</v>
      </c>
      <c r="P98">
        <v>42333.702931504798</v>
      </c>
      <c r="Q98">
        <v>636294.00306730298</v>
      </c>
      <c r="S98">
        <v>8754.0059999999994</v>
      </c>
      <c r="T98">
        <v>82408.185124968106</v>
      </c>
      <c r="V98">
        <v>8754.0059999999994</v>
      </c>
      <c r="W98">
        <v>110600.80183496801</v>
      </c>
    </row>
    <row r="99" spans="7:23" x14ac:dyDescent="0.25">
      <c r="G99">
        <v>8755.0059999999994</v>
      </c>
      <c r="H99">
        <v>147688.07401973801</v>
      </c>
      <c r="I99">
        <v>307097.36187025998</v>
      </c>
      <c r="J99">
        <v>454785.43588999799</v>
      </c>
      <c r="K99">
        <v>307209.75667270803</v>
      </c>
      <c r="L99">
        <v>19.1551975538882</v>
      </c>
      <c r="N99">
        <v>8755.0059999999994</v>
      </c>
      <c r="O99">
        <v>594057.05213579803</v>
      </c>
      <c r="P99">
        <v>42338.538931504801</v>
      </c>
      <c r="Q99">
        <v>636395.59006730304</v>
      </c>
      <c r="S99">
        <v>8755.0059999999994</v>
      </c>
      <c r="T99">
        <v>82408.203124968102</v>
      </c>
      <c r="V99">
        <v>8755.0059999999994</v>
      </c>
      <c r="W99">
        <v>110614.755834968</v>
      </c>
    </row>
    <row r="100" spans="7:23" x14ac:dyDescent="0.25">
      <c r="G100">
        <v>8756.0059999999994</v>
      </c>
      <c r="H100">
        <v>147692.838019738</v>
      </c>
      <c r="I100">
        <v>307183.92787026003</v>
      </c>
      <c r="J100">
        <v>454876.765889998</v>
      </c>
      <c r="K100">
        <v>307296.35267270799</v>
      </c>
      <c r="L100">
        <v>19.1552087239257</v>
      </c>
      <c r="N100">
        <v>8756.0059999999994</v>
      </c>
      <c r="O100">
        <v>594158.28113579797</v>
      </c>
      <c r="P100">
        <v>42343.373931504801</v>
      </c>
      <c r="Q100">
        <v>636501.65506730299</v>
      </c>
      <c r="S100">
        <v>8756.0059999999994</v>
      </c>
      <c r="T100">
        <v>82408.203124968102</v>
      </c>
      <c r="V100">
        <v>8756.0059999999994</v>
      </c>
      <c r="W100">
        <v>110629.272834968</v>
      </c>
    </row>
    <row r="101" spans="7:23" x14ac:dyDescent="0.25">
      <c r="G101">
        <v>8757.0059999999994</v>
      </c>
      <c r="H101">
        <v>147695.97301973801</v>
      </c>
      <c r="I101">
        <v>307255.73287026002</v>
      </c>
      <c r="J101">
        <v>454951.705889998</v>
      </c>
      <c r="K101">
        <v>307368.15767270798</v>
      </c>
      <c r="L101">
        <v>19.1552087239257</v>
      </c>
      <c r="N101">
        <v>8757.0059999999994</v>
      </c>
      <c r="O101">
        <v>594240.93413579802</v>
      </c>
      <c r="P101">
        <v>42348.2089315048</v>
      </c>
      <c r="Q101">
        <v>636589.14406730304</v>
      </c>
      <c r="S101">
        <v>8757.0059999999994</v>
      </c>
      <c r="T101">
        <v>82408.203124968102</v>
      </c>
      <c r="V101">
        <v>8757.0059999999994</v>
      </c>
      <c r="W101">
        <v>110640.97683496799</v>
      </c>
    </row>
    <row r="102" spans="7:23" x14ac:dyDescent="0.25">
      <c r="G102">
        <v>8758.0059999999994</v>
      </c>
      <c r="H102">
        <v>147695.97301973801</v>
      </c>
      <c r="I102">
        <v>307324.23287026002</v>
      </c>
      <c r="J102">
        <v>455020.205889998</v>
      </c>
      <c r="K102">
        <v>307436.65767270798</v>
      </c>
      <c r="L102">
        <v>19.1552087239257</v>
      </c>
      <c r="N102">
        <v>8758.0059999999994</v>
      </c>
      <c r="O102">
        <v>594317.58613579802</v>
      </c>
      <c r="P102">
        <v>42353.044931504803</v>
      </c>
      <c r="Q102">
        <v>636670.63006730296</v>
      </c>
      <c r="S102">
        <v>8758.0059999999994</v>
      </c>
      <c r="T102">
        <v>82408.203124968102</v>
      </c>
      <c r="V102">
        <v>8758.0059999999994</v>
      </c>
      <c r="W102">
        <v>110652.106834968</v>
      </c>
    </row>
    <row r="103" spans="7:23" x14ac:dyDescent="0.25">
      <c r="G103">
        <v>8759.0059999999994</v>
      </c>
      <c r="H103">
        <v>147695.97301973801</v>
      </c>
      <c r="I103">
        <v>307384.01287025999</v>
      </c>
      <c r="J103">
        <v>455079.98588999797</v>
      </c>
      <c r="K103">
        <v>307496.46767270798</v>
      </c>
      <c r="L103">
        <v>19.1552087239257</v>
      </c>
      <c r="N103">
        <v>8759.0059999999994</v>
      </c>
      <c r="O103">
        <v>594378.75713579799</v>
      </c>
      <c r="P103">
        <v>42357.879931504802</v>
      </c>
      <c r="Q103">
        <v>636736.63706730295</v>
      </c>
      <c r="S103">
        <v>8759.0059999999994</v>
      </c>
      <c r="T103">
        <v>82408.203124968102</v>
      </c>
      <c r="V103">
        <v>8759.0059999999994</v>
      </c>
      <c r="W103">
        <v>110661.742834968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7E60-1E3D-4696-9C5E-920EC0C2CA75}">
  <dimension ref="B2:X102"/>
  <sheetViews>
    <sheetView workbookViewId="0">
      <selection activeCell="B8" sqref="B8"/>
    </sheetView>
  </sheetViews>
  <sheetFormatPr defaultRowHeight="15" x14ac:dyDescent="0.25"/>
  <cols>
    <col min="8" max="8" width="24.85546875" customWidth="1"/>
    <col min="9" max="9" width="26.85546875" customWidth="1"/>
    <col min="10" max="10" width="24.85546875" customWidth="1"/>
    <col min="11" max="11" width="26.140625" customWidth="1"/>
    <col min="12" max="12" width="21.85546875" customWidth="1"/>
    <col min="14" max="14" width="21.140625" customWidth="1"/>
    <col min="15" max="15" width="25.140625" customWidth="1"/>
    <col min="16" max="16" width="21.140625" customWidth="1"/>
  </cols>
  <sheetData>
    <row r="2" spans="7:24" x14ac:dyDescent="0.25">
      <c r="H2" t="s">
        <v>46</v>
      </c>
      <c r="I2" t="s">
        <v>47</v>
      </c>
      <c r="J2" t="s">
        <v>48</v>
      </c>
      <c r="K2" t="s">
        <v>49</v>
      </c>
      <c r="L2" t="s">
        <v>50</v>
      </c>
      <c r="O2" t="s">
        <v>51</v>
      </c>
      <c r="P2" t="s">
        <v>40</v>
      </c>
      <c r="Q2" t="s">
        <v>41</v>
      </c>
      <c r="T2" t="s">
        <v>52</v>
      </c>
      <c r="X2" t="s">
        <v>42</v>
      </c>
    </row>
    <row r="3" spans="7:24" x14ac:dyDescent="0.25">
      <c r="G3">
        <v>8684.0059999999994</v>
      </c>
      <c r="H3">
        <v>531595.79489662196</v>
      </c>
      <c r="I3">
        <v>-81209.349006620003</v>
      </c>
      <c r="J3">
        <v>450386.44588999799</v>
      </c>
      <c r="K3">
        <v>-81157.491745676103</v>
      </c>
      <c r="L3">
        <v>4527.1776494821197</v>
      </c>
      <c r="N3">
        <v>8684.0059999999994</v>
      </c>
      <c r="O3">
        <v>351713.44054482097</v>
      </c>
      <c r="P3">
        <v>181567.59873286501</v>
      </c>
      <c r="Q3">
        <v>533281.03927768697</v>
      </c>
      <c r="S3">
        <v>8684.0059999999994</v>
      </c>
      <c r="T3">
        <v>147807.131790246</v>
      </c>
      <c r="W3">
        <v>8684.0059999999994</v>
      </c>
      <c r="X3">
        <v>-11641.075077261299</v>
      </c>
    </row>
    <row r="4" spans="7:24" x14ac:dyDescent="0.25">
      <c r="G4">
        <v>8685.0059999999994</v>
      </c>
      <c r="H4">
        <v>531595.79489662196</v>
      </c>
      <c r="I4">
        <v>-81133.759006620006</v>
      </c>
      <c r="J4">
        <v>450462.03588999802</v>
      </c>
      <c r="K4">
        <v>-81081.901745676107</v>
      </c>
      <c r="L4">
        <v>4527.1776494821197</v>
      </c>
      <c r="N4">
        <v>8685.0059999999994</v>
      </c>
      <c r="O4">
        <v>351795.09354482102</v>
      </c>
      <c r="P4">
        <v>181588.504732865</v>
      </c>
      <c r="Q4">
        <v>533383.59827768698</v>
      </c>
      <c r="S4">
        <v>8685.0059999999994</v>
      </c>
      <c r="T4">
        <v>147807.131790246</v>
      </c>
      <c r="W4">
        <v>8685.0059999999994</v>
      </c>
      <c r="X4">
        <v>-11627.4080772613</v>
      </c>
    </row>
    <row r="5" spans="7:24" x14ac:dyDescent="0.25">
      <c r="G5">
        <v>8686.0059999999994</v>
      </c>
      <c r="H5">
        <v>531595.79489662196</v>
      </c>
      <c r="I5">
        <v>-81069.729006619993</v>
      </c>
      <c r="J5">
        <v>450526.06588999799</v>
      </c>
      <c r="K5">
        <v>-81017.871745676093</v>
      </c>
      <c r="L5">
        <v>4527.1776494821197</v>
      </c>
      <c r="N5">
        <v>8686.0059999999994</v>
      </c>
      <c r="O5">
        <v>351861.96654482099</v>
      </c>
      <c r="P5">
        <v>181609.41073286501</v>
      </c>
      <c r="Q5">
        <v>533471.37727768696</v>
      </c>
      <c r="S5">
        <v>8686.0059999999994</v>
      </c>
      <c r="T5">
        <v>147807.131790246</v>
      </c>
      <c r="W5">
        <v>8686.0059999999994</v>
      </c>
      <c r="X5">
        <v>-11615.868077261301</v>
      </c>
    </row>
    <row r="6" spans="7:24" x14ac:dyDescent="0.25">
      <c r="G6">
        <v>8687.0059999999994</v>
      </c>
      <c r="H6">
        <v>531595.79489662196</v>
      </c>
      <c r="I6">
        <v>-81018.54900662</v>
      </c>
      <c r="J6">
        <v>450577.24588999798</v>
      </c>
      <c r="K6">
        <v>-80966.501745676098</v>
      </c>
      <c r="L6">
        <v>4527.1776494821197</v>
      </c>
      <c r="N6">
        <v>8687.0059999999994</v>
      </c>
      <c r="O6">
        <v>351914.889544821</v>
      </c>
      <c r="P6">
        <v>181630.316732865</v>
      </c>
      <c r="Q6">
        <v>533545.20527768601</v>
      </c>
      <c r="S6">
        <v>8687.0059999999994</v>
      </c>
      <c r="T6">
        <v>147807.131790246</v>
      </c>
      <c r="W6">
        <v>8687.0059999999994</v>
      </c>
      <c r="X6">
        <v>-11603.6510772613</v>
      </c>
    </row>
    <row r="7" spans="7:24" x14ac:dyDescent="0.25">
      <c r="G7">
        <v>8688.0059999999994</v>
      </c>
      <c r="H7">
        <v>531595.79489662196</v>
      </c>
      <c r="I7">
        <v>-80976.409006620001</v>
      </c>
      <c r="J7">
        <v>450619.385889998</v>
      </c>
      <c r="K7">
        <v>-80924.361745676099</v>
      </c>
      <c r="L7">
        <v>4527.1776494821197</v>
      </c>
      <c r="N7">
        <v>8688.0059999999994</v>
      </c>
      <c r="O7">
        <v>351963.36454482097</v>
      </c>
      <c r="P7">
        <v>181651.22273286499</v>
      </c>
      <c r="Q7">
        <v>533614.58627768699</v>
      </c>
      <c r="S7">
        <v>8688.0059999999994</v>
      </c>
      <c r="T7">
        <v>147807.131790246</v>
      </c>
      <c r="W7">
        <v>8688.0059999999994</v>
      </c>
      <c r="X7">
        <v>-11590.4740772613</v>
      </c>
    </row>
    <row r="8" spans="7:24" x14ac:dyDescent="0.25">
      <c r="G8">
        <v>8689.0059999999994</v>
      </c>
      <c r="H8">
        <v>531595.79489662196</v>
      </c>
      <c r="I8">
        <v>-80939.639006619997</v>
      </c>
      <c r="J8">
        <v>450656.15588999802</v>
      </c>
      <c r="K8">
        <v>-80887.591745676094</v>
      </c>
      <c r="L8">
        <v>4527.1776494821197</v>
      </c>
      <c r="N8">
        <v>8689.0059999999994</v>
      </c>
      <c r="O8">
        <v>352005.63454482099</v>
      </c>
      <c r="P8">
        <v>181672.12773286499</v>
      </c>
      <c r="Q8">
        <v>533677.76227768697</v>
      </c>
      <c r="S8">
        <v>8689.0059999999994</v>
      </c>
      <c r="T8">
        <v>147807.131790246</v>
      </c>
      <c r="W8">
        <v>8689.0059999999994</v>
      </c>
      <c r="X8">
        <v>-11578.5270772613</v>
      </c>
    </row>
    <row r="9" spans="7:24" x14ac:dyDescent="0.25">
      <c r="G9">
        <v>8690.0059999999994</v>
      </c>
      <c r="H9">
        <v>531595.79489662196</v>
      </c>
      <c r="I9">
        <v>-80906.489006620002</v>
      </c>
      <c r="J9">
        <v>450689.30588999798</v>
      </c>
      <c r="K9">
        <v>-80854.4417456761</v>
      </c>
      <c r="L9">
        <v>4527.1776494821197</v>
      </c>
      <c r="N9">
        <v>8690.0059999999994</v>
      </c>
      <c r="O9">
        <v>352043.94054482097</v>
      </c>
      <c r="P9">
        <v>181693.03373286501</v>
      </c>
      <c r="Q9">
        <v>533736.97527768696</v>
      </c>
      <c r="S9">
        <v>8690.0059999999994</v>
      </c>
      <c r="T9">
        <v>147807.131790246</v>
      </c>
      <c r="W9">
        <v>8690.0059999999994</v>
      </c>
      <c r="X9">
        <v>-11567.5450772613</v>
      </c>
    </row>
    <row r="10" spans="7:24" x14ac:dyDescent="0.25">
      <c r="G10">
        <v>8691.0059999999994</v>
      </c>
      <c r="H10">
        <v>531595.79489662196</v>
      </c>
      <c r="I10">
        <v>-80874.689006619999</v>
      </c>
      <c r="J10">
        <v>450721.10588999803</v>
      </c>
      <c r="K10">
        <v>-80822.641745676097</v>
      </c>
      <c r="L10">
        <v>4527.1776494821197</v>
      </c>
      <c r="N10">
        <v>8691.0059999999994</v>
      </c>
      <c r="O10">
        <v>352081.019544821</v>
      </c>
      <c r="P10">
        <v>181713.93973286499</v>
      </c>
      <c r="Q10">
        <v>533794.95927768701</v>
      </c>
      <c r="S10">
        <v>8691.0059999999994</v>
      </c>
      <c r="T10">
        <v>147807.131790246</v>
      </c>
      <c r="W10">
        <v>8691.0059999999994</v>
      </c>
      <c r="X10">
        <v>-11555.3930772613</v>
      </c>
    </row>
    <row r="11" spans="7:24" x14ac:dyDescent="0.25">
      <c r="G11">
        <v>8692.0059999999994</v>
      </c>
      <c r="H11">
        <v>531595.79489662196</v>
      </c>
      <c r="I11">
        <v>-80844.749006619997</v>
      </c>
      <c r="J11">
        <v>450751.04588999797</v>
      </c>
      <c r="K11">
        <v>-80792.701745676095</v>
      </c>
      <c r="L11">
        <v>4527.1776494821197</v>
      </c>
      <c r="N11">
        <v>8692.0059999999994</v>
      </c>
      <c r="O11">
        <v>352118.02954482101</v>
      </c>
      <c r="P11">
        <v>181734.84573286501</v>
      </c>
      <c r="Q11">
        <v>533852.87527768698</v>
      </c>
      <c r="S11">
        <v>8692.0059999999994</v>
      </c>
      <c r="T11">
        <v>147807.131790246</v>
      </c>
      <c r="W11">
        <v>8692.0059999999994</v>
      </c>
      <c r="X11">
        <v>-11542.3670772613</v>
      </c>
    </row>
    <row r="12" spans="7:24" x14ac:dyDescent="0.25">
      <c r="G12">
        <v>8693.0059999999994</v>
      </c>
      <c r="H12">
        <v>531595.79489662196</v>
      </c>
      <c r="I12">
        <v>-80812.889006619997</v>
      </c>
      <c r="J12">
        <v>450782.90588999802</v>
      </c>
      <c r="K12">
        <v>-80760.841745676094</v>
      </c>
      <c r="L12">
        <v>4527.1776494821197</v>
      </c>
      <c r="N12">
        <v>8693.0059999999994</v>
      </c>
      <c r="O12">
        <v>352160.09754482098</v>
      </c>
      <c r="P12">
        <v>181755.751732865</v>
      </c>
      <c r="Q12">
        <v>533915.84927768703</v>
      </c>
      <c r="S12">
        <v>8693.0059999999994</v>
      </c>
      <c r="T12">
        <v>147807.131790246</v>
      </c>
      <c r="W12">
        <v>8693.0059999999994</v>
      </c>
      <c r="X12">
        <v>-11527.8640772613</v>
      </c>
    </row>
    <row r="13" spans="7:24" x14ac:dyDescent="0.25">
      <c r="G13">
        <v>8694.0059999999994</v>
      </c>
      <c r="H13">
        <v>531595.79489662196</v>
      </c>
      <c r="I13">
        <v>-80771.009006620006</v>
      </c>
      <c r="J13">
        <v>450824.78588999802</v>
      </c>
      <c r="K13">
        <v>-80718.961745676104</v>
      </c>
      <c r="L13">
        <v>4527.1776494821197</v>
      </c>
      <c r="N13">
        <v>8694.0059999999994</v>
      </c>
      <c r="O13">
        <v>352217.24054482102</v>
      </c>
      <c r="P13">
        <v>181776.65773286499</v>
      </c>
      <c r="Q13">
        <v>533993.89827768703</v>
      </c>
      <c r="S13">
        <v>8694.0059999999994</v>
      </c>
      <c r="T13">
        <v>147807.131790246</v>
      </c>
      <c r="W13">
        <v>8694.0059999999994</v>
      </c>
      <c r="X13">
        <v>-11506.378077261301</v>
      </c>
    </row>
    <row r="14" spans="7:24" x14ac:dyDescent="0.25">
      <c r="G14">
        <v>8695.0059999999994</v>
      </c>
      <c r="H14">
        <v>531595.79489662196</v>
      </c>
      <c r="I14">
        <v>-80722.369006620007</v>
      </c>
      <c r="J14">
        <v>450873.42588999798</v>
      </c>
      <c r="K14">
        <v>-80670.321745676105</v>
      </c>
      <c r="L14">
        <v>4527.1776494821197</v>
      </c>
      <c r="N14">
        <v>8695.0059999999994</v>
      </c>
      <c r="O14">
        <v>352289.41154482099</v>
      </c>
      <c r="P14">
        <v>181797.563732865</v>
      </c>
      <c r="Q14">
        <v>534086.97527768696</v>
      </c>
      <c r="S14">
        <v>8695.0059999999994</v>
      </c>
      <c r="T14">
        <v>147807.131790246</v>
      </c>
      <c r="W14">
        <v>8695.0059999999994</v>
      </c>
      <c r="X14">
        <v>-11477.3760772613</v>
      </c>
    </row>
    <row r="15" spans="7:24" x14ac:dyDescent="0.25">
      <c r="G15">
        <v>8696.0059999999994</v>
      </c>
      <c r="H15">
        <v>531596.07489662198</v>
      </c>
      <c r="I15">
        <v>-80669.439006619999</v>
      </c>
      <c r="J15">
        <v>450926.635889998</v>
      </c>
      <c r="K15">
        <v>-80617.391745676097</v>
      </c>
      <c r="L15">
        <v>4527.1776494821197</v>
      </c>
      <c r="N15">
        <v>8696.0059999999994</v>
      </c>
      <c r="O15">
        <v>352372.687544821</v>
      </c>
      <c r="P15">
        <v>181818.46973286499</v>
      </c>
      <c r="Q15">
        <v>534191.15727768699</v>
      </c>
      <c r="S15">
        <v>8696.0059999999994</v>
      </c>
      <c r="T15">
        <v>147807.131790246</v>
      </c>
      <c r="W15">
        <v>8696.0059999999994</v>
      </c>
      <c r="X15">
        <v>-11444.1750772613</v>
      </c>
    </row>
    <row r="16" spans="7:24" x14ac:dyDescent="0.25">
      <c r="G16">
        <v>8697.0059999999994</v>
      </c>
      <c r="H16">
        <v>531610.25089662196</v>
      </c>
      <c r="I16">
        <v>-80620.115006620006</v>
      </c>
      <c r="J16">
        <v>450990.135889998</v>
      </c>
      <c r="K16">
        <v>-80568.067745676104</v>
      </c>
      <c r="L16">
        <v>4527.3166494821198</v>
      </c>
      <c r="N16">
        <v>8697.0059999999994</v>
      </c>
      <c r="O16">
        <v>352460.62954482099</v>
      </c>
      <c r="P16">
        <v>181839.37473286499</v>
      </c>
      <c r="Q16">
        <v>534300.00427768601</v>
      </c>
      <c r="S16">
        <v>8697.0059999999994</v>
      </c>
      <c r="T16">
        <v>147807.43979024599</v>
      </c>
      <c r="W16">
        <v>8697.0059999999994</v>
      </c>
      <c r="X16">
        <v>-11411.689077261301</v>
      </c>
    </row>
    <row r="17" spans="2:24" x14ac:dyDescent="0.25">
      <c r="G17">
        <v>8698.0059999999994</v>
      </c>
      <c r="H17">
        <v>531664.04289662198</v>
      </c>
      <c r="I17">
        <v>-80605.33700662</v>
      </c>
      <c r="J17">
        <v>451058.705889998</v>
      </c>
      <c r="K17">
        <v>-80553.289745676098</v>
      </c>
      <c r="L17">
        <v>4530.3476494821198</v>
      </c>
      <c r="N17">
        <v>8698.0059999999994</v>
      </c>
      <c r="O17">
        <v>352487.31954482099</v>
      </c>
      <c r="P17">
        <v>181860.28073286501</v>
      </c>
      <c r="Q17">
        <v>534347.60027768696</v>
      </c>
      <c r="S17">
        <v>8698.0059999999994</v>
      </c>
      <c r="T17">
        <v>147819.433790246</v>
      </c>
      <c r="W17">
        <v>8698.0059999999994</v>
      </c>
      <c r="X17">
        <v>-11402.2030772613</v>
      </c>
    </row>
    <row r="18" spans="2:24" x14ac:dyDescent="0.25">
      <c r="G18">
        <v>8699.0059999999994</v>
      </c>
      <c r="H18">
        <v>531742.51789662195</v>
      </c>
      <c r="I18">
        <v>-80612.642006619993</v>
      </c>
      <c r="J18">
        <v>451129.87588999799</v>
      </c>
      <c r="K18">
        <v>-80560.594745676106</v>
      </c>
      <c r="L18">
        <v>4533.7526494821204</v>
      </c>
      <c r="N18">
        <v>8699.0059999999994</v>
      </c>
      <c r="O18">
        <v>352485.003544821</v>
      </c>
      <c r="P18">
        <v>181881.186732865</v>
      </c>
      <c r="Q18">
        <v>534366.19027768599</v>
      </c>
      <c r="S18">
        <v>8699.0059999999994</v>
      </c>
      <c r="T18">
        <v>147840.29579024599</v>
      </c>
      <c r="W18">
        <v>8699.0059999999994</v>
      </c>
      <c r="X18">
        <v>-11406.8020772613</v>
      </c>
    </row>
    <row r="19" spans="2:24" x14ac:dyDescent="0.25">
      <c r="B19" t="s">
        <v>92</v>
      </c>
      <c r="G19">
        <v>8700.0059999999994</v>
      </c>
      <c r="H19">
        <v>531817.33189662197</v>
      </c>
      <c r="I19">
        <v>-80626.546006620003</v>
      </c>
      <c r="J19">
        <v>451190.78588999802</v>
      </c>
      <c r="K19">
        <v>-80574.498745676101</v>
      </c>
      <c r="L19">
        <v>4535.74164948212</v>
      </c>
      <c r="N19">
        <v>8700.0059999999994</v>
      </c>
      <c r="O19">
        <v>352480.74854482099</v>
      </c>
      <c r="P19">
        <v>181902.09273286501</v>
      </c>
      <c r="Q19">
        <v>534382.841277687</v>
      </c>
      <c r="S19">
        <v>8700.0059999999994</v>
      </c>
      <c r="T19">
        <v>147855.085790246</v>
      </c>
      <c r="W19">
        <v>8700.0059999999994</v>
      </c>
      <c r="X19">
        <v>-11415.1220772613</v>
      </c>
    </row>
    <row r="20" spans="2:24" x14ac:dyDescent="0.25">
      <c r="B20" t="s">
        <v>94</v>
      </c>
      <c r="G20">
        <v>8701.0059999999994</v>
      </c>
      <c r="H20">
        <v>531869.78289662197</v>
      </c>
      <c r="I20">
        <v>-80618.497006620004</v>
      </c>
      <c r="J20">
        <v>451251.28588999802</v>
      </c>
      <c r="K20">
        <v>-80566.449745676102</v>
      </c>
      <c r="L20">
        <v>4537.9216494821203</v>
      </c>
      <c r="N20">
        <v>8701.0059999999994</v>
      </c>
      <c r="O20">
        <v>352492.58354482101</v>
      </c>
      <c r="P20">
        <v>181922.998732865</v>
      </c>
      <c r="Q20">
        <v>534415.58227768599</v>
      </c>
      <c r="S20">
        <v>8701.0059999999994</v>
      </c>
      <c r="T20">
        <v>147864.92879024599</v>
      </c>
      <c r="W20">
        <v>8701.0059999999994</v>
      </c>
      <c r="X20">
        <v>-11410.7590772613</v>
      </c>
    </row>
    <row r="21" spans="2:24" x14ac:dyDescent="0.25">
      <c r="B21" t="s">
        <v>96</v>
      </c>
      <c r="G21">
        <v>8702.0059999999994</v>
      </c>
      <c r="H21">
        <v>531892.53989662195</v>
      </c>
      <c r="I21">
        <v>-80579.744006620007</v>
      </c>
      <c r="J21">
        <v>451312.79588999797</v>
      </c>
      <c r="K21">
        <v>-80527.696745676105</v>
      </c>
      <c r="L21">
        <v>4538.20164948212</v>
      </c>
      <c r="N21">
        <v>8702.0059999999994</v>
      </c>
      <c r="O21">
        <v>352547.42454482103</v>
      </c>
      <c r="P21">
        <v>181943.90473286499</v>
      </c>
      <c r="Q21">
        <v>534491.32927768701</v>
      </c>
      <c r="S21">
        <v>8702.0059999999994</v>
      </c>
      <c r="T21">
        <v>147865.50179024599</v>
      </c>
      <c r="W21">
        <v>8702.0059999999994</v>
      </c>
      <c r="X21">
        <v>-11392.414077261299</v>
      </c>
    </row>
    <row r="22" spans="2:24" x14ac:dyDescent="0.25">
      <c r="B22" t="s">
        <v>98</v>
      </c>
      <c r="G22">
        <v>8703.0059999999994</v>
      </c>
      <c r="H22">
        <v>531894.61389662197</v>
      </c>
      <c r="I22">
        <v>-80515.188006619996</v>
      </c>
      <c r="J22">
        <v>451379.42588999798</v>
      </c>
      <c r="K22">
        <v>-80463.140745676094</v>
      </c>
      <c r="L22">
        <v>4538.20164948212</v>
      </c>
      <c r="N22">
        <v>8703.0059999999994</v>
      </c>
      <c r="O22">
        <v>352637.96354482102</v>
      </c>
      <c r="P22">
        <v>181964.81073286501</v>
      </c>
      <c r="Q22">
        <v>534602.77427768696</v>
      </c>
      <c r="S22">
        <v>8703.0059999999994</v>
      </c>
      <c r="T22">
        <v>147865.50179024599</v>
      </c>
      <c r="W22">
        <v>8703.0059999999994</v>
      </c>
      <c r="X22">
        <v>-11366.736077261299</v>
      </c>
    </row>
    <row r="23" spans="2:24" x14ac:dyDescent="0.25">
      <c r="B23" t="s">
        <v>100</v>
      </c>
      <c r="G23">
        <v>8704.0059999999994</v>
      </c>
      <c r="H23">
        <v>531894.621896622</v>
      </c>
      <c r="I23">
        <v>-80429.966006620001</v>
      </c>
      <c r="J23">
        <v>451464.65588999802</v>
      </c>
      <c r="K23">
        <v>-80377.918745676099</v>
      </c>
      <c r="L23">
        <v>4538.20164948212</v>
      </c>
      <c r="N23">
        <v>8704.0059999999994</v>
      </c>
      <c r="O23">
        <v>352760.21954482101</v>
      </c>
      <c r="P23">
        <v>181985.716732865</v>
      </c>
      <c r="Q23">
        <v>534745.93627768697</v>
      </c>
      <c r="S23">
        <v>8704.0059999999994</v>
      </c>
      <c r="T23">
        <v>147865.50179024599</v>
      </c>
      <c r="W23">
        <v>8704.0059999999994</v>
      </c>
      <c r="X23">
        <v>-11337.3720772613</v>
      </c>
    </row>
    <row r="24" spans="2:24" x14ac:dyDescent="0.25">
      <c r="B24" t="s">
        <v>102</v>
      </c>
      <c r="G24">
        <v>8705.0059999999994</v>
      </c>
      <c r="H24">
        <v>531894.621896622</v>
      </c>
      <c r="I24">
        <v>-80319.256006619995</v>
      </c>
      <c r="J24">
        <v>451575.36588999798</v>
      </c>
      <c r="K24">
        <v>-80267.208745676093</v>
      </c>
      <c r="L24">
        <v>4538.20164948212</v>
      </c>
      <c r="N24">
        <v>8705.0059999999994</v>
      </c>
      <c r="O24">
        <v>352914.579544821</v>
      </c>
      <c r="P24">
        <v>182006.62273286501</v>
      </c>
      <c r="Q24">
        <v>534921.20127768698</v>
      </c>
      <c r="S24">
        <v>8705.0059999999994</v>
      </c>
      <c r="T24">
        <v>147865.50179024599</v>
      </c>
      <c r="W24">
        <v>8705.0059999999994</v>
      </c>
      <c r="X24">
        <v>-11302.085077261299</v>
      </c>
    </row>
    <row r="25" spans="2:24" x14ac:dyDescent="0.25">
      <c r="B25" t="s">
        <v>104</v>
      </c>
      <c r="G25">
        <v>8706.0059999999994</v>
      </c>
      <c r="H25">
        <v>531894.621896622</v>
      </c>
      <c r="I25">
        <v>-80201.416006619998</v>
      </c>
      <c r="J25">
        <v>451693.205889998</v>
      </c>
      <c r="K25">
        <v>-80149.368745676096</v>
      </c>
      <c r="L25">
        <v>4538.20164948212</v>
      </c>
      <c r="N25">
        <v>8706.0059999999994</v>
      </c>
      <c r="O25">
        <v>353073.34254482097</v>
      </c>
      <c r="P25">
        <v>182027.52773286501</v>
      </c>
      <c r="Q25">
        <v>535100.87027768698</v>
      </c>
      <c r="S25">
        <v>8706.0059999999994</v>
      </c>
      <c r="T25">
        <v>147865.50179024599</v>
      </c>
      <c r="W25">
        <v>8706.0059999999994</v>
      </c>
      <c r="X25">
        <v>-11271.0780772613</v>
      </c>
    </row>
    <row r="26" spans="2:24" x14ac:dyDescent="0.25">
      <c r="B26" t="s">
        <v>106</v>
      </c>
      <c r="G26">
        <v>8707.0059999999994</v>
      </c>
      <c r="H26">
        <v>531894.621896622</v>
      </c>
      <c r="I26">
        <v>-80105.336006619997</v>
      </c>
      <c r="J26">
        <v>451789.28588999802</v>
      </c>
      <c r="K26">
        <v>-80053.288745676095</v>
      </c>
      <c r="L26">
        <v>4538.20164948212</v>
      </c>
      <c r="N26">
        <v>8707.0059999999994</v>
      </c>
      <c r="O26">
        <v>353191.177544821</v>
      </c>
      <c r="P26">
        <v>182048.433732865</v>
      </c>
      <c r="Q26">
        <v>535239.61127768701</v>
      </c>
      <c r="S26">
        <v>8707.0059999999994</v>
      </c>
      <c r="T26">
        <v>147865.50179024599</v>
      </c>
      <c r="W26">
        <v>8707.0059999999994</v>
      </c>
      <c r="X26">
        <v>-11249.3850772613</v>
      </c>
    </row>
    <row r="27" spans="2:24" x14ac:dyDescent="0.25">
      <c r="B27" t="s">
        <v>108</v>
      </c>
      <c r="G27">
        <v>8708.0059999999994</v>
      </c>
      <c r="H27">
        <v>531894.621896622</v>
      </c>
      <c r="I27">
        <v>-80016.086006619997</v>
      </c>
      <c r="J27">
        <v>451878.53588999802</v>
      </c>
      <c r="K27">
        <v>-79964.038745676095</v>
      </c>
      <c r="L27">
        <v>4538.20164948212</v>
      </c>
      <c r="N27">
        <v>8708.0059999999994</v>
      </c>
      <c r="O27">
        <v>353277.19954482099</v>
      </c>
      <c r="P27">
        <v>182069.33973286499</v>
      </c>
      <c r="Q27">
        <v>535346.53927768697</v>
      </c>
      <c r="S27">
        <v>8708.0059999999994</v>
      </c>
      <c r="T27">
        <v>147865.50179024599</v>
      </c>
      <c r="W27">
        <v>8708.0059999999994</v>
      </c>
      <c r="X27">
        <v>-11232.4260772613</v>
      </c>
    </row>
    <row r="28" spans="2:24" x14ac:dyDescent="0.25">
      <c r="B28" t="s">
        <v>110</v>
      </c>
      <c r="G28">
        <v>8709.0059999999994</v>
      </c>
      <c r="H28">
        <v>531894.621896622</v>
      </c>
      <c r="I28">
        <v>-79943.116006619995</v>
      </c>
      <c r="J28">
        <v>451951.50588999799</v>
      </c>
      <c r="K28">
        <v>-79891.068745676093</v>
      </c>
      <c r="L28">
        <v>4538.20164948212</v>
      </c>
      <c r="N28">
        <v>8709.0059999999994</v>
      </c>
      <c r="O28">
        <v>353346.22354482103</v>
      </c>
      <c r="P28">
        <v>182090.24573286501</v>
      </c>
      <c r="Q28">
        <v>535436.46927768702</v>
      </c>
      <c r="S28">
        <v>8709.0059999999994</v>
      </c>
      <c r="T28">
        <v>147865.50179024599</v>
      </c>
      <c r="W28">
        <v>8709.0059999999994</v>
      </c>
      <c r="X28">
        <v>-11219.020077261301</v>
      </c>
    </row>
    <row r="29" spans="2:24" x14ac:dyDescent="0.25">
      <c r="B29" t="s">
        <v>112</v>
      </c>
      <c r="G29">
        <v>8710.0059999999994</v>
      </c>
      <c r="H29">
        <v>531894.621896622</v>
      </c>
      <c r="I29">
        <v>-79876.256006619995</v>
      </c>
      <c r="J29">
        <v>452018.36588999798</v>
      </c>
      <c r="K29">
        <v>-79824.208745676093</v>
      </c>
      <c r="L29">
        <v>4538.20164948212</v>
      </c>
      <c r="N29">
        <v>8710.0059999999994</v>
      </c>
      <c r="O29">
        <v>353407.622544821</v>
      </c>
      <c r="P29">
        <v>182111.15173286499</v>
      </c>
      <c r="Q29">
        <v>535518.77427768696</v>
      </c>
      <c r="S29">
        <v>8710.0059999999994</v>
      </c>
      <c r="T29">
        <v>147865.50179024599</v>
      </c>
      <c r="W29">
        <v>8710.0059999999994</v>
      </c>
      <c r="X29">
        <v>-11207.7470772613</v>
      </c>
    </row>
    <row r="30" spans="2:24" x14ac:dyDescent="0.25">
      <c r="B30" t="s">
        <v>114</v>
      </c>
      <c r="G30">
        <v>8711.0059999999994</v>
      </c>
      <c r="H30">
        <v>531894.621896622</v>
      </c>
      <c r="I30">
        <v>-79820.946006619997</v>
      </c>
      <c r="J30">
        <v>452073.67588999798</v>
      </c>
      <c r="K30">
        <v>-79768.898745676095</v>
      </c>
      <c r="L30">
        <v>4538.20164948212</v>
      </c>
      <c r="N30">
        <v>8711.0059999999994</v>
      </c>
      <c r="O30">
        <v>353456.35254482098</v>
      </c>
      <c r="P30">
        <v>182132.05773286501</v>
      </c>
      <c r="Q30">
        <v>535588.41027768701</v>
      </c>
      <c r="S30">
        <v>8711.0059999999994</v>
      </c>
      <c r="T30">
        <v>147865.50179024599</v>
      </c>
      <c r="W30">
        <v>8711.0059999999994</v>
      </c>
      <c r="X30">
        <v>-11198.815077261301</v>
      </c>
    </row>
    <row r="31" spans="2:24" x14ac:dyDescent="0.25">
      <c r="G31">
        <v>8712.0059999999994</v>
      </c>
      <c r="H31">
        <v>531894.621896622</v>
      </c>
      <c r="I31">
        <v>-79777.866006619995</v>
      </c>
      <c r="J31">
        <v>452116.75588999799</v>
      </c>
      <c r="K31">
        <v>-79725.818745676093</v>
      </c>
      <c r="L31">
        <v>4538.20164948212</v>
      </c>
      <c r="N31">
        <v>8712.0059999999994</v>
      </c>
      <c r="O31">
        <v>353503.04854482098</v>
      </c>
      <c r="P31">
        <v>182152.963732865</v>
      </c>
      <c r="Q31">
        <v>535656.01227768697</v>
      </c>
      <c r="S31">
        <v>8712.0059999999994</v>
      </c>
      <c r="T31">
        <v>147865.50179024599</v>
      </c>
      <c r="W31">
        <v>8712.0059999999994</v>
      </c>
      <c r="X31">
        <v>-11192.0510772613</v>
      </c>
    </row>
    <row r="32" spans="2:24" x14ac:dyDescent="0.25">
      <c r="G32">
        <v>8713.0059999999994</v>
      </c>
      <c r="H32">
        <v>531894.621896622</v>
      </c>
      <c r="I32">
        <v>-79742.696006619997</v>
      </c>
      <c r="J32">
        <v>452151.92588999798</v>
      </c>
      <c r="K32">
        <v>-79690.648745676095</v>
      </c>
      <c r="L32">
        <v>4538.20164948212</v>
      </c>
      <c r="N32">
        <v>8713.0059999999994</v>
      </c>
      <c r="O32">
        <v>353540.75054482103</v>
      </c>
      <c r="P32">
        <v>182173.86973286499</v>
      </c>
      <c r="Q32">
        <v>535714.62027768698</v>
      </c>
      <c r="S32">
        <v>8713.0059999999994</v>
      </c>
      <c r="T32">
        <v>147865.50179024599</v>
      </c>
      <c r="W32">
        <v>8713.0059999999994</v>
      </c>
      <c r="X32">
        <v>-11187.082077261301</v>
      </c>
    </row>
    <row r="33" spans="7:24" x14ac:dyDescent="0.25">
      <c r="G33">
        <v>8714.0059999999994</v>
      </c>
      <c r="H33">
        <v>531894.621896622</v>
      </c>
      <c r="I33">
        <v>-79708.826006620002</v>
      </c>
      <c r="J33">
        <v>452185.79588999797</v>
      </c>
      <c r="K33">
        <v>-79656.7787456761</v>
      </c>
      <c r="L33">
        <v>4538.20164948212</v>
      </c>
      <c r="N33">
        <v>8714.0059999999994</v>
      </c>
      <c r="O33">
        <v>353576.78154482099</v>
      </c>
      <c r="P33">
        <v>182194.775732865</v>
      </c>
      <c r="Q33">
        <v>535771.55727768701</v>
      </c>
      <c r="S33">
        <v>8714.0059999999994</v>
      </c>
      <c r="T33">
        <v>147865.50179024599</v>
      </c>
      <c r="W33">
        <v>8714.0059999999994</v>
      </c>
      <c r="X33">
        <v>-11182.1230772613</v>
      </c>
    </row>
    <row r="34" spans="7:24" x14ac:dyDescent="0.25">
      <c r="G34">
        <v>8715.0059999999994</v>
      </c>
      <c r="H34">
        <v>531894.621896622</v>
      </c>
      <c r="I34">
        <v>-79677.196006619997</v>
      </c>
      <c r="J34">
        <v>452217.42588999798</v>
      </c>
      <c r="K34">
        <v>-79625.148745676095</v>
      </c>
      <c r="L34">
        <v>4538.20164948212</v>
      </c>
      <c r="N34">
        <v>8715.0059999999994</v>
      </c>
      <c r="O34">
        <v>353609.579544821</v>
      </c>
      <c r="P34">
        <v>182215.680732865</v>
      </c>
      <c r="Q34">
        <v>535825.26127768599</v>
      </c>
      <c r="S34">
        <v>8715.0059999999994</v>
      </c>
      <c r="T34">
        <v>147865.50179024599</v>
      </c>
      <c r="W34">
        <v>8715.0059999999994</v>
      </c>
      <c r="X34">
        <v>-11176.9890772613</v>
      </c>
    </row>
    <row r="35" spans="7:24" x14ac:dyDescent="0.25">
      <c r="G35">
        <v>8716.0059999999994</v>
      </c>
      <c r="H35">
        <v>531894.621896622</v>
      </c>
      <c r="I35">
        <v>-79646.146006619994</v>
      </c>
      <c r="J35">
        <v>452248.47588999802</v>
      </c>
      <c r="K35">
        <v>-79594.098745676107</v>
      </c>
      <c r="L35">
        <v>4538.20164948212</v>
      </c>
      <c r="N35">
        <v>8716.0059999999994</v>
      </c>
      <c r="O35">
        <v>353642.05454482097</v>
      </c>
      <c r="P35">
        <v>182236.58673286499</v>
      </c>
      <c r="Q35">
        <v>535878.64227768697</v>
      </c>
      <c r="S35">
        <v>8716.0059999999994</v>
      </c>
      <c r="T35">
        <v>147865.50179024599</v>
      </c>
      <c r="W35">
        <v>8716.0059999999994</v>
      </c>
      <c r="X35">
        <v>-11172.5860772613</v>
      </c>
    </row>
    <row r="36" spans="7:24" x14ac:dyDescent="0.25">
      <c r="G36">
        <v>8717.0059999999994</v>
      </c>
      <c r="H36">
        <v>531894.621896622</v>
      </c>
      <c r="I36">
        <v>-79612.63600662</v>
      </c>
      <c r="J36">
        <v>452281.98588999797</v>
      </c>
      <c r="K36">
        <v>-79560.538745676095</v>
      </c>
      <c r="L36">
        <v>4538.20164948212</v>
      </c>
      <c r="N36">
        <v>8717.0059999999994</v>
      </c>
      <c r="O36">
        <v>353677.88154482102</v>
      </c>
      <c r="P36">
        <v>182257.49273286501</v>
      </c>
      <c r="Q36">
        <v>535935.374277686</v>
      </c>
      <c r="S36">
        <v>8717.0059999999994</v>
      </c>
      <c r="T36">
        <v>147865.50179024599</v>
      </c>
      <c r="W36">
        <v>8717.0059999999994</v>
      </c>
      <c r="X36">
        <v>-11168.031077261299</v>
      </c>
    </row>
    <row r="37" spans="7:24" x14ac:dyDescent="0.25">
      <c r="G37">
        <v>8718.0059999999994</v>
      </c>
      <c r="H37">
        <v>531894.621896622</v>
      </c>
      <c r="I37">
        <v>-79571.616006619995</v>
      </c>
      <c r="J37">
        <v>452323.00588999799</v>
      </c>
      <c r="K37">
        <v>-79519.518745676105</v>
      </c>
      <c r="L37">
        <v>4538.20164948212</v>
      </c>
      <c r="N37">
        <v>8718.0059999999994</v>
      </c>
      <c r="O37">
        <v>353722.13054482098</v>
      </c>
      <c r="P37">
        <v>182278.398732865</v>
      </c>
      <c r="Q37">
        <v>536000.52927768696</v>
      </c>
      <c r="S37">
        <v>8718.0059999999994</v>
      </c>
      <c r="T37">
        <v>147865.50179024599</v>
      </c>
      <c r="W37">
        <v>8718.0059999999994</v>
      </c>
      <c r="X37">
        <v>-11161.8840772613</v>
      </c>
    </row>
    <row r="38" spans="7:24" x14ac:dyDescent="0.25">
      <c r="G38">
        <v>8719.0059999999994</v>
      </c>
      <c r="H38">
        <v>531894.621896622</v>
      </c>
      <c r="I38">
        <v>-79524.276006619999</v>
      </c>
      <c r="J38">
        <v>452370.34588999802</v>
      </c>
      <c r="K38">
        <v>-79472.098745676107</v>
      </c>
      <c r="L38">
        <v>4538.20164948212</v>
      </c>
      <c r="N38">
        <v>8719.0059999999994</v>
      </c>
      <c r="O38">
        <v>353773.21154482098</v>
      </c>
      <c r="P38">
        <v>182299.30473286501</v>
      </c>
      <c r="Q38">
        <v>536072.51627768599</v>
      </c>
      <c r="S38">
        <v>8719.0059999999994</v>
      </c>
      <c r="T38">
        <v>147865.50179024599</v>
      </c>
      <c r="W38">
        <v>8719.0059999999994</v>
      </c>
      <c r="X38">
        <v>-11153.1780772613</v>
      </c>
    </row>
    <row r="39" spans="7:24" x14ac:dyDescent="0.25">
      <c r="G39">
        <v>8720.0059999999994</v>
      </c>
      <c r="H39">
        <v>531894.64689662203</v>
      </c>
      <c r="I39">
        <v>-79463.191006620007</v>
      </c>
      <c r="J39">
        <v>452431.455889998</v>
      </c>
      <c r="K39">
        <v>-79411.0137456761</v>
      </c>
      <c r="L39">
        <v>4538.20164948212</v>
      </c>
      <c r="N39">
        <v>8720.0059999999994</v>
      </c>
      <c r="O39">
        <v>353839.37954482099</v>
      </c>
      <c r="P39">
        <v>182320.210732865</v>
      </c>
      <c r="Q39">
        <v>536159.58927768702</v>
      </c>
      <c r="S39">
        <v>8720.0059999999994</v>
      </c>
      <c r="T39">
        <v>147865.50179024599</v>
      </c>
      <c r="W39">
        <v>8720.0059999999994</v>
      </c>
      <c r="X39">
        <v>-11140.350077261301</v>
      </c>
    </row>
    <row r="40" spans="7:24" x14ac:dyDescent="0.25">
      <c r="G40">
        <v>8721.0059999999994</v>
      </c>
      <c r="H40">
        <v>531897.35289662203</v>
      </c>
      <c r="I40">
        <v>-79398.997006620004</v>
      </c>
      <c r="J40">
        <v>452498.35588999803</v>
      </c>
      <c r="K40">
        <v>-79346.819745676097</v>
      </c>
      <c r="L40">
        <v>4538.20164948212</v>
      </c>
      <c r="N40">
        <v>8721.0059999999994</v>
      </c>
      <c r="O40">
        <v>353909.48754482099</v>
      </c>
      <c r="P40">
        <v>182341.11673286499</v>
      </c>
      <c r="Q40">
        <v>536250.60327768698</v>
      </c>
      <c r="S40">
        <v>8721.0059999999994</v>
      </c>
      <c r="T40">
        <v>147865.50179024599</v>
      </c>
      <c r="W40">
        <v>8721.0059999999994</v>
      </c>
      <c r="X40">
        <v>-11126.9550772613</v>
      </c>
    </row>
    <row r="41" spans="7:24" x14ac:dyDescent="0.25">
      <c r="G41">
        <v>8722.0059999999994</v>
      </c>
      <c r="H41">
        <v>531907.92589662201</v>
      </c>
      <c r="I41">
        <v>-79346.360006620002</v>
      </c>
      <c r="J41">
        <v>452561.56588999799</v>
      </c>
      <c r="K41">
        <v>-79294.182745676095</v>
      </c>
      <c r="L41">
        <v>4538.1986494821203</v>
      </c>
      <c r="N41">
        <v>8722.0059999999994</v>
      </c>
      <c r="O41">
        <v>353966.97454482102</v>
      </c>
      <c r="P41">
        <v>182362.02273286501</v>
      </c>
      <c r="Q41">
        <v>536328.99727768695</v>
      </c>
      <c r="S41">
        <v>8722.0059999999994</v>
      </c>
      <c r="T41">
        <v>147865.525790246</v>
      </c>
      <c r="W41">
        <v>8722.0059999999994</v>
      </c>
      <c r="X41">
        <v>-11116.199077261301</v>
      </c>
    </row>
    <row r="42" spans="7:24" x14ac:dyDescent="0.25">
      <c r="G42">
        <v>8723.0059999999994</v>
      </c>
      <c r="H42">
        <v>531925.11289662204</v>
      </c>
      <c r="I42">
        <v>-79299.387006620003</v>
      </c>
      <c r="J42">
        <v>452625.72588999802</v>
      </c>
      <c r="K42">
        <v>-79247.209745676097</v>
      </c>
      <c r="L42">
        <v>4538.2086494821197</v>
      </c>
      <c r="N42">
        <v>8723.0059999999994</v>
      </c>
      <c r="O42">
        <v>354018.31054482103</v>
      </c>
      <c r="P42">
        <v>182382.92773286501</v>
      </c>
      <c r="Q42">
        <v>536401.23927768599</v>
      </c>
      <c r="S42">
        <v>8723.0059999999994</v>
      </c>
      <c r="T42">
        <v>147865.636790246</v>
      </c>
      <c r="W42">
        <v>8723.0059999999994</v>
      </c>
      <c r="X42">
        <v>-11106.386077261301</v>
      </c>
    </row>
    <row r="43" spans="7:24" x14ac:dyDescent="0.25">
      <c r="G43">
        <v>8724.0059999999994</v>
      </c>
      <c r="H43">
        <v>531943.37889662199</v>
      </c>
      <c r="I43">
        <v>-79254.463006620004</v>
      </c>
      <c r="J43">
        <v>452688.91588999802</v>
      </c>
      <c r="K43">
        <v>-79202.285745676098</v>
      </c>
      <c r="L43">
        <v>4538.1366494821204</v>
      </c>
      <c r="N43">
        <v>8724.0059999999994</v>
      </c>
      <c r="O43">
        <v>354068.11254482099</v>
      </c>
      <c r="P43">
        <v>182403.83373286499</v>
      </c>
      <c r="Q43">
        <v>536471.94627768698</v>
      </c>
      <c r="S43">
        <v>8724.0059999999994</v>
      </c>
      <c r="T43">
        <v>147865.816790246</v>
      </c>
      <c r="W43">
        <v>8724.0059999999994</v>
      </c>
      <c r="X43">
        <v>-11096.700077261299</v>
      </c>
    </row>
    <row r="44" spans="7:24" x14ac:dyDescent="0.25">
      <c r="G44">
        <v>8725.0059999999994</v>
      </c>
      <c r="H44">
        <v>531958.86289662204</v>
      </c>
      <c r="I44">
        <v>-79203.297006620007</v>
      </c>
      <c r="J44">
        <v>452755.56588999799</v>
      </c>
      <c r="K44">
        <v>-79151.1197456761</v>
      </c>
      <c r="L44">
        <v>4538.1456494821196</v>
      </c>
      <c r="N44">
        <v>8725.0059999999994</v>
      </c>
      <c r="O44">
        <v>354124.98454482103</v>
      </c>
      <c r="P44">
        <v>182424.73973286501</v>
      </c>
      <c r="Q44">
        <v>536549.72527768696</v>
      </c>
      <c r="S44">
        <v>8725.0059999999994</v>
      </c>
      <c r="T44">
        <v>147865.85679024601</v>
      </c>
      <c r="W44">
        <v>8725.0059999999994</v>
      </c>
      <c r="X44">
        <v>-11084.9030772613</v>
      </c>
    </row>
    <row r="45" spans="7:24" x14ac:dyDescent="0.25">
      <c r="G45">
        <v>8726.0059999999994</v>
      </c>
      <c r="H45">
        <v>531967.53489662195</v>
      </c>
      <c r="I45">
        <v>-79148.579006619999</v>
      </c>
      <c r="J45">
        <v>452818.955889998</v>
      </c>
      <c r="K45">
        <v>-79096.401745676107</v>
      </c>
      <c r="L45">
        <v>4538.1426494821199</v>
      </c>
      <c r="N45">
        <v>8726.0059999999994</v>
      </c>
      <c r="O45">
        <v>354186.13254482101</v>
      </c>
      <c r="P45">
        <v>182445.645732865</v>
      </c>
      <c r="Q45">
        <v>536631.77827768598</v>
      </c>
      <c r="S45">
        <v>8726.0059999999994</v>
      </c>
      <c r="T45">
        <v>147865.88779024599</v>
      </c>
      <c r="W45">
        <v>8726.0059999999994</v>
      </c>
      <c r="X45">
        <v>-11071.4990772613</v>
      </c>
    </row>
    <row r="46" spans="7:24" x14ac:dyDescent="0.25">
      <c r="G46">
        <v>8727.0059999999994</v>
      </c>
      <c r="H46">
        <v>531968.768896622</v>
      </c>
      <c r="I46">
        <v>-79072.323006620005</v>
      </c>
      <c r="J46">
        <v>452896.44588999799</v>
      </c>
      <c r="K46">
        <v>-79020.145745676098</v>
      </c>
      <c r="L46">
        <v>4538.1426494821199</v>
      </c>
      <c r="N46">
        <v>8727.0059999999994</v>
      </c>
      <c r="O46">
        <v>354270.60954482103</v>
      </c>
      <c r="P46">
        <v>182466.55173286499</v>
      </c>
      <c r="Q46">
        <v>536737.16127768694</v>
      </c>
      <c r="S46">
        <v>8727.0059999999994</v>
      </c>
      <c r="T46">
        <v>147865.88779024599</v>
      </c>
      <c r="W46">
        <v>8727.0059999999994</v>
      </c>
      <c r="X46">
        <v>-11050.0000772613</v>
      </c>
    </row>
    <row r="47" spans="7:24" x14ac:dyDescent="0.25">
      <c r="G47">
        <v>8728.0059999999994</v>
      </c>
      <c r="H47">
        <v>531968.77689662203</v>
      </c>
      <c r="I47">
        <v>-78987.62100662</v>
      </c>
      <c r="J47">
        <v>452981.15588999802</v>
      </c>
      <c r="K47">
        <v>-78935.443745676093</v>
      </c>
      <c r="L47">
        <v>4538.1426494821199</v>
      </c>
      <c r="N47">
        <v>8728.0059999999994</v>
      </c>
      <c r="O47">
        <v>354369.94054482097</v>
      </c>
      <c r="P47">
        <v>182487.457732865</v>
      </c>
      <c r="Q47">
        <v>536857.39827768703</v>
      </c>
      <c r="S47">
        <v>8728.0059999999994</v>
      </c>
      <c r="T47">
        <v>147865.88779024599</v>
      </c>
      <c r="W47">
        <v>8728.0059999999994</v>
      </c>
      <c r="X47">
        <v>-11024.689077261301</v>
      </c>
    </row>
    <row r="48" spans="7:24" x14ac:dyDescent="0.25">
      <c r="G48">
        <v>8729.0059999999994</v>
      </c>
      <c r="H48">
        <v>531968.77689662203</v>
      </c>
      <c r="I48">
        <v>-78878.831006620007</v>
      </c>
      <c r="J48">
        <v>453089.94588999799</v>
      </c>
      <c r="K48">
        <v>-78826.6537456761</v>
      </c>
      <c r="L48">
        <v>4538.1426494821199</v>
      </c>
      <c r="N48">
        <v>8729.0059999999994</v>
      </c>
      <c r="O48">
        <v>354504.01254482102</v>
      </c>
      <c r="P48">
        <v>182508.36373286499</v>
      </c>
      <c r="Q48">
        <v>537012.37627768703</v>
      </c>
      <c r="S48">
        <v>8729.0059999999994</v>
      </c>
      <c r="T48">
        <v>147865.88779024599</v>
      </c>
      <c r="W48">
        <v>8729.0059999999994</v>
      </c>
      <c r="X48">
        <v>-10990.451077261299</v>
      </c>
    </row>
    <row r="49" spans="7:24" x14ac:dyDescent="0.25">
      <c r="G49">
        <v>8730.0059999999994</v>
      </c>
      <c r="H49">
        <v>531968.77689662203</v>
      </c>
      <c r="I49">
        <v>-78773.01100662</v>
      </c>
      <c r="J49">
        <v>453195.765889998</v>
      </c>
      <c r="K49">
        <v>-78720.833745676093</v>
      </c>
      <c r="L49">
        <v>4538.1426494821199</v>
      </c>
      <c r="N49">
        <v>8730.0059999999994</v>
      </c>
      <c r="O49">
        <v>354631.58254482102</v>
      </c>
      <c r="P49">
        <v>182529.26973286501</v>
      </c>
      <c r="Q49">
        <v>537160.852277686</v>
      </c>
      <c r="S49">
        <v>8730.0059999999994</v>
      </c>
      <c r="T49">
        <v>147865.88779024599</v>
      </c>
      <c r="W49">
        <v>8730.0059999999994</v>
      </c>
      <c r="X49">
        <v>-10958.6320772613</v>
      </c>
    </row>
    <row r="50" spans="7:24" x14ac:dyDescent="0.25">
      <c r="G50">
        <v>8731.0059999999994</v>
      </c>
      <c r="H50">
        <v>531968.77689662203</v>
      </c>
      <c r="I50">
        <v>-78684.201006620002</v>
      </c>
      <c r="J50">
        <v>453284.575889998</v>
      </c>
      <c r="K50">
        <v>-78632.023745676095</v>
      </c>
      <c r="L50">
        <v>4538.1426494821199</v>
      </c>
      <c r="N50">
        <v>8731.0059999999994</v>
      </c>
      <c r="O50">
        <v>354737.25454482099</v>
      </c>
      <c r="P50">
        <v>182550.175732865</v>
      </c>
      <c r="Q50">
        <v>537287.43027768598</v>
      </c>
      <c r="S50">
        <v>8731.0059999999994</v>
      </c>
      <c r="T50">
        <v>147865.88779024599</v>
      </c>
      <c r="W50">
        <v>8731.0059999999994</v>
      </c>
      <c r="X50">
        <v>-10933.442077261299</v>
      </c>
    </row>
    <row r="51" spans="7:24" x14ac:dyDescent="0.25">
      <c r="G51">
        <v>8732.0059999999994</v>
      </c>
      <c r="H51">
        <v>531968.77689662203</v>
      </c>
      <c r="I51">
        <v>-78594.601006619996</v>
      </c>
      <c r="J51">
        <v>453374.17588999798</v>
      </c>
      <c r="K51">
        <v>-78542.423745676104</v>
      </c>
      <c r="L51">
        <v>4538.1426494821199</v>
      </c>
      <c r="N51">
        <v>8732.0059999999994</v>
      </c>
      <c r="O51">
        <v>354843.666544821</v>
      </c>
      <c r="P51">
        <v>182571.080732865</v>
      </c>
      <c r="Q51">
        <v>537414.748277687</v>
      </c>
      <c r="S51">
        <v>8732.0059999999994</v>
      </c>
      <c r="T51">
        <v>147865.88779024599</v>
      </c>
      <c r="W51">
        <v>8732.0059999999994</v>
      </c>
      <c r="X51">
        <v>-10912.592077261301</v>
      </c>
    </row>
    <row r="52" spans="7:24" x14ac:dyDescent="0.25">
      <c r="G52">
        <v>8733.0059999999994</v>
      </c>
      <c r="H52">
        <v>531968.77689662203</v>
      </c>
      <c r="I52">
        <v>-78510.791006619998</v>
      </c>
      <c r="J52">
        <v>453457.98588999797</v>
      </c>
      <c r="K52">
        <v>-78458.613745676106</v>
      </c>
      <c r="L52">
        <v>4538.1426494821199</v>
      </c>
      <c r="N52">
        <v>8733.0059999999994</v>
      </c>
      <c r="O52">
        <v>354943.514544821</v>
      </c>
      <c r="P52">
        <v>182591.98673286501</v>
      </c>
      <c r="Q52">
        <v>537535.50127768703</v>
      </c>
      <c r="S52">
        <v>8733.0059999999994</v>
      </c>
      <c r="T52">
        <v>147865.88779024599</v>
      </c>
      <c r="W52">
        <v>8733.0059999999994</v>
      </c>
      <c r="X52">
        <v>-10892.8760772613</v>
      </c>
    </row>
    <row r="53" spans="7:24" x14ac:dyDescent="0.25">
      <c r="G53">
        <v>8734.0059999999994</v>
      </c>
      <c r="H53">
        <v>531968.77689662203</v>
      </c>
      <c r="I53">
        <v>-78439.781006620004</v>
      </c>
      <c r="J53">
        <v>453528.99588999798</v>
      </c>
      <c r="K53">
        <v>-78387.603745676097</v>
      </c>
      <c r="L53">
        <v>4538.1426494821199</v>
      </c>
      <c r="N53">
        <v>8734.0059999999994</v>
      </c>
      <c r="O53">
        <v>355022.33954482101</v>
      </c>
      <c r="P53">
        <v>182612.892732865</v>
      </c>
      <c r="Q53">
        <v>537635.23227768601</v>
      </c>
      <c r="S53">
        <v>8734.0059999999994</v>
      </c>
      <c r="T53">
        <v>147865.88779024599</v>
      </c>
      <c r="W53">
        <v>8734.0059999999994</v>
      </c>
      <c r="X53">
        <v>-10878.2390772613</v>
      </c>
    </row>
    <row r="54" spans="7:24" x14ac:dyDescent="0.25">
      <c r="G54">
        <v>8735.0059999999994</v>
      </c>
      <c r="H54">
        <v>531968.77689662203</v>
      </c>
      <c r="I54">
        <v>-78381.131006619995</v>
      </c>
      <c r="J54">
        <v>453587.64588999801</v>
      </c>
      <c r="K54">
        <v>-78328.953745676103</v>
      </c>
      <c r="L54">
        <v>4538.1426494821199</v>
      </c>
      <c r="N54">
        <v>8735.0059999999994</v>
      </c>
      <c r="O54">
        <v>355085.780544821</v>
      </c>
      <c r="P54">
        <v>182633.79873286499</v>
      </c>
      <c r="Q54">
        <v>537719.57927768701</v>
      </c>
      <c r="S54">
        <v>8735.0059999999994</v>
      </c>
      <c r="T54">
        <v>147865.88779024599</v>
      </c>
      <c r="W54">
        <v>8735.0059999999994</v>
      </c>
      <c r="X54">
        <v>-10866.109077261301</v>
      </c>
    </row>
    <row r="55" spans="7:24" x14ac:dyDescent="0.25">
      <c r="G55">
        <v>8736.0059999999994</v>
      </c>
      <c r="H55">
        <v>531968.77689662203</v>
      </c>
      <c r="I55">
        <v>-78336.401006619999</v>
      </c>
      <c r="J55">
        <v>453632.37588999799</v>
      </c>
      <c r="K55">
        <v>-78284.223745676107</v>
      </c>
      <c r="L55">
        <v>4538.1426494821199</v>
      </c>
      <c r="N55">
        <v>8736.0059999999994</v>
      </c>
      <c r="O55">
        <v>355135.96754482097</v>
      </c>
      <c r="P55">
        <v>182654.70473286501</v>
      </c>
      <c r="Q55">
        <v>537790.672277687</v>
      </c>
      <c r="S55">
        <v>8736.0059999999994</v>
      </c>
      <c r="T55">
        <v>147865.88779024599</v>
      </c>
      <c r="W55">
        <v>8736.0059999999994</v>
      </c>
      <c r="X55">
        <v>-10857.5510772613</v>
      </c>
    </row>
    <row r="56" spans="7:24" x14ac:dyDescent="0.25">
      <c r="G56">
        <v>8737.0059999999994</v>
      </c>
      <c r="H56">
        <v>531968.77689662203</v>
      </c>
      <c r="I56">
        <v>-78299.861006620005</v>
      </c>
      <c r="J56">
        <v>453668.91588999802</v>
      </c>
      <c r="K56">
        <v>-78247.683745676099</v>
      </c>
      <c r="L56">
        <v>4538.1426494821199</v>
      </c>
      <c r="N56">
        <v>8737.0059999999994</v>
      </c>
      <c r="O56">
        <v>355175.16554482101</v>
      </c>
      <c r="P56">
        <v>182675.610732865</v>
      </c>
      <c r="Q56">
        <v>537850.776277686</v>
      </c>
      <c r="S56">
        <v>8737.0059999999994</v>
      </c>
      <c r="T56">
        <v>147865.88779024599</v>
      </c>
      <c r="W56">
        <v>8737.0059999999994</v>
      </c>
      <c r="X56">
        <v>-10850.815077261301</v>
      </c>
    </row>
    <row r="57" spans="7:24" x14ac:dyDescent="0.25">
      <c r="G57">
        <v>8738.0059999999994</v>
      </c>
      <c r="H57">
        <v>531968.77689662203</v>
      </c>
      <c r="I57">
        <v>-78266.321006619997</v>
      </c>
      <c r="J57">
        <v>453702.455889998</v>
      </c>
      <c r="K57">
        <v>-78214.143745676105</v>
      </c>
      <c r="L57">
        <v>4538.1426494821199</v>
      </c>
      <c r="N57">
        <v>8738.0059999999994</v>
      </c>
      <c r="O57">
        <v>355210.24454482098</v>
      </c>
      <c r="P57">
        <v>182696.51673286501</v>
      </c>
      <c r="Q57">
        <v>537906.76127768599</v>
      </c>
      <c r="S57">
        <v>8738.0059999999994</v>
      </c>
      <c r="T57">
        <v>147865.88779024599</v>
      </c>
      <c r="W57">
        <v>8738.0059999999994</v>
      </c>
      <c r="X57">
        <v>-10844.574077261301</v>
      </c>
    </row>
    <row r="58" spans="7:24" x14ac:dyDescent="0.25">
      <c r="G58">
        <v>8739.0059999999994</v>
      </c>
      <c r="H58">
        <v>531968.77689662203</v>
      </c>
      <c r="I58">
        <v>-78236.801006619993</v>
      </c>
      <c r="J58">
        <v>453731.97588999802</v>
      </c>
      <c r="K58">
        <v>-78184.623745676101</v>
      </c>
      <c r="L58">
        <v>4538.1426494821199</v>
      </c>
      <c r="N58">
        <v>8739.0059999999994</v>
      </c>
      <c r="O58">
        <v>355241.11954482098</v>
      </c>
      <c r="P58">
        <v>182717.422732865</v>
      </c>
      <c r="Q58">
        <v>537958.54127768695</v>
      </c>
      <c r="S58">
        <v>8739.0059999999994</v>
      </c>
      <c r="T58">
        <v>147865.88779024599</v>
      </c>
      <c r="W58">
        <v>8739.0059999999994</v>
      </c>
      <c r="X58">
        <v>-10839.103077261299</v>
      </c>
    </row>
    <row r="59" spans="7:24" x14ac:dyDescent="0.25">
      <c r="G59">
        <v>8740.0059999999994</v>
      </c>
      <c r="H59">
        <v>531968.77689662203</v>
      </c>
      <c r="I59">
        <v>-78207.841006620001</v>
      </c>
      <c r="J59">
        <v>453760.93588999799</v>
      </c>
      <c r="K59">
        <v>-78155.663745676095</v>
      </c>
      <c r="L59">
        <v>4538.1426494821199</v>
      </c>
      <c r="N59">
        <v>8740.0059999999994</v>
      </c>
      <c r="O59">
        <v>355272.92054482101</v>
      </c>
      <c r="P59">
        <v>182738.327732865</v>
      </c>
      <c r="Q59">
        <v>538011.249277686</v>
      </c>
      <c r="S59">
        <v>8740.0059999999994</v>
      </c>
      <c r="T59">
        <v>147865.88779024599</v>
      </c>
      <c r="W59">
        <v>8740.0059999999994</v>
      </c>
      <c r="X59">
        <v>-10833.824077261301</v>
      </c>
    </row>
    <row r="60" spans="7:24" x14ac:dyDescent="0.25">
      <c r="G60">
        <v>8741.0059999999994</v>
      </c>
      <c r="H60">
        <v>531968.77689662203</v>
      </c>
      <c r="I60">
        <v>-78176.941006620007</v>
      </c>
      <c r="J60">
        <v>453791.83588999801</v>
      </c>
      <c r="K60">
        <v>-78124.7637456761</v>
      </c>
      <c r="L60">
        <v>4538.1426494821199</v>
      </c>
      <c r="N60">
        <v>8741.0059999999994</v>
      </c>
      <c r="O60">
        <v>355307.33654482098</v>
      </c>
      <c r="P60">
        <v>182759.23373286499</v>
      </c>
      <c r="Q60">
        <v>538066.570277686</v>
      </c>
      <c r="S60">
        <v>8741.0059999999994</v>
      </c>
      <c r="T60">
        <v>147865.88779024599</v>
      </c>
      <c r="W60">
        <v>8741.0059999999994</v>
      </c>
      <c r="X60">
        <v>-10828.180077261301</v>
      </c>
    </row>
    <row r="61" spans="7:24" x14ac:dyDescent="0.25">
      <c r="G61">
        <v>8742.0059999999994</v>
      </c>
      <c r="H61">
        <v>531968.77689662203</v>
      </c>
      <c r="I61">
        <v>-78140.031006620004</v>
      </c>
      <c r="J61">
        <v>453828.74588999798</v>
      </c>
      <c r="K61">
        <v>-78087.853745676097</v>
      </c>
      <c r="L61">
        <v>4538.1426494821199</v>
      </c>
      <c r="N61">
        <v>8742.0059999999994</v>
      </c>
      <c r="O61">
        <v>355349.87754482101</v>
      </c>
      <c r="P61">
        <v>182780.13973286501</v>
      </c>
      <c r="Q61">
        <v>538130.01827768702</v>
      </c>
      <c r="S61">
        <v>8742.0059999999994</v>
      </c>
      <c r="T61">
        <v>147865.88779024599</v>
      </c>
      <c r="W61">
        <v>8742.0059999999994</v>
      </c>
      <c r="X61">
        <v>-10821.380077261299</v>
      </c>
    </row>
    <row r="62" spans="7:24" x14ac:dyDescent="0.25">
      <c r="G62">
        <v>8743.0059999999994</v>
      </c>
      <c r="H62">
        <v>531968.77689662203</v>
      </c>
      <c r="I62">
        <v>-78094.801006619993</v>
      </c>
      <c r="J62">
        <v>453873.97588999802</v>
      </c>
      <c r="K62">
        <v>-78042.623745676101</v>
      </c>
      <c r="L62">
        <v>4538.1426494821199</v>
      </c>
      <c r="N62">
        <v>8743.0059999999994</v>
      </c>
      <c r="O62">
        <v>355403.796544821</v>
      </c>
      <c r="P62">
        <v>182801.04573286499</v>
      </c>
      <c r="Q62">
        <v>538204.842277686</v>
      </c>
      <c r="S62">
        <v>8743.0059999999994</v>
      </c>
      <c r="T62">
        <v>147865.88779024599</v>
      </c>
      <c r="W62">
        <v>8743.0059999999994</v>
      </c>
      <c r="X62">
        <v>-10812.7650772613</v>
      </c>
    </row>
    <row r="63" spans="7:24" x14ac:dyDescent="0.25">
      <c r="G63">
        <v>8744.0059999999994</v>
      </c>
      <c r="H63">
        <v>531968.77689662203</v>
      </c>
      <c r="I63">
        <v>-78038.471006620006</v>
      </c>
      <c r="J63">
        <v>453930.30588999798</v>
      </c>
      <c r="K63">
        <v>-77986.293745676099</v>
      </c>
      <c r="L63">
        <v>4538.1426494821199</v>
      </c>
      <c r="N63">
        <v>8744.0059999999994</v>
      </c>
      <c r="O63">
        <v>355473.00754482101</v>
      </c>
      <c r="P63">
        <v>182821.95173286501</v>
      </c>
      <c r="Q63">
        <v>538294.95927768701</v>
      </c>
      <c r="S63">
        <v>8744.0059999999994</v>
      </c>
      <c r="T63">
        <v>147865.88779024599</v>
      </c>
      <c r="W63">
        <v>8744.0059999999994</v>
      </c>
      <c r="X63">
        <v>-10800.333077261301</v>
      </c>
    </row>
    <row r="64" spans="7:24" x14ac:dyDescent="0.25">
      <c r="G64">
        <v>8745.0059999999994</v>
      </c>
      <c r="H64">
        <v>531968.77689662203</v>
      </c>
      <c r="I64">
        <v>-77979.161006619994</v>
      </c>
      <c r="J64">
        <v>453989.61588999798</v>
      </c>
      <c r="K64">
        <v>-77926.983745676102</v>
      </c>
      <c r="L64">
        <v>4538.1426494821199</v>
      </c>
      <c r="N64">
        <v>8745.0059999999994</v>
      </c>
      <c r="O64">
        <v>355546.01254482102</v>
      </c>
      <c r="P64">
        <v>182842.857732865</v>
      </c>
      <c r="Q64">
        <v>538388.869277686</v>
      </c>
      <c r="S64">
        <v>8745.0059999999994</v>
      </c>
      <c r="T64">
        <v>147865.88779024599</v>
      </c>
      <c r="W64">
        <v>8745.0059999999994</v>
      </c>
      <c r="X64">
        <v>-10786.9920772613</v>
      </c>
    </row>
    <row r="65" spans="7:24" x14ac:dyDescent="0.25">
      <c r="G65">
        <v>8746.0059999999994</v>
      </c>
      <c r="H65">
        <v>531968.77689662203</v>
      </c>
      <c r="I65">
        <v>-77920.341006620001</v>
      </c>
      <c r="J65">
        <v>454048.43588999799</v>
      </c>
      <c r="K65">
        <v>-77868.163745676095</v>
      </c>
      <c r="L65">
        <v>4538.1426494821199</v>
      </c>
      <c r="N65">
        <v>8746.0059999999994</v>
      </c>
      <c r="O65">
        <v>355618.94054482097</v>
      </c>
      <c r="P65">
        <v>182863.76373286499</v>
      </c>
      <c r="Q65">
        <v>538482.70327768696</v>
      </c>
      <c r="S65">
        <v>8746.0059999999994</v>
      </c>
      <c r="T65">
        <v>147865.88779024599</v>
      </c>
      <c r="W65">
        <v>8746.0059999999994</v>
      </c>
      <c r="X65">
        <v>-10774.0150772613</v>
      </c>
    </row>
    <row r="66" spans="7:24" x14ac:dyDescent="0.25">
      <c r="G66">
        <v>8747.0059999999994</v>
      </c>
      <c r="H66">
        <v>531968.77689662203</v>
      </c>
      <c r="I66">
        <v>-77857.061006620002</v>
      </c>
      <c r="J66">
        <v>454111.71588999801</v>
      </c>
      <c r="K66">
        <v>-77804.883745676096</v>
      </c>
      <c r="L66">
        <v>4538.1426494821199</v>
      </c>
      <c r="N66">
        <v>8747.0059999999994</v>
      </c>
      <c r="O66">
        <v>355696.878544821</v>
      </c>
      <c r="P66">
        <v>182884.669732865</v>
      </c>
      <c r="Q66">
        <v>538581.548277686</v>
      </c>
      <c r="S66">
        <v>8747.0059999999994</v>
      </c>
      <c r="T66">
        <v>147865.88779024599</v>
      </c>
      <c r="W66">
        <v>8747.0059999999994</v>
      </c>
      <c r="X66">
        <v>-10760.0080772613</v>
      </c>
    </row>
    <row r="67" spans="7:24" x14ac:dyDescent="0.25">
      <c r="G67">
        <v>8748.0059999999994</v>
      </c>
      <c r="H67">
        <v>531993.92889662203</v>
      </c>
      <c r="I67">
        <v>-77813.953006619995</v>
      </c>
      <c r="J67">
        <v>454179.97588999802</v>
      </c>
      <c r="K67">
        <v>-77761.775745676103</v>
      </c>
      <c r="L67">
        <v>4538.2426494821202</v>
      </c>
      <c r="N67">
        <v>8748.0059999999994</v>
      </c>
      <c r="O67">
        <v>355749.45854482101</v>
      </c>
      <c r="P67">
        <v>182905.57573286499</v>
      </c>
      <c r="Q67">
        <v>538655.03327768599</v>
      </c>
      <c r="S67">
        <v>8748.0059999999994</v>
      </c>
      <c r="T67">
        <v>147866.680790246</v>
      </c>
      <c r="W67">
        <v>8748.0059999999994</v>
      </c>
      <c r="X67">
        <v>-10750.584077261299</v>
      </c>
    </row>
    <row r="68" spans="7:24" x14ac:dyDescent="0.25">
      <c r="G68">
        <v>8749.0059999999994</v>
      </c>
      <c r="H68">
        <v>532006.697896622</v>
      </c>
      <c r="I68">
        <v>-77758.752006619994</v>
      </c>
      <c r="J68">
        <v>454247.94588999799</v>
      </c>
      <c r="K68">
        <v>-77706.574745676102</v>
      </c>
      <c r="L68">
        <v>4538.2796494821196</v>
      </c>
      <c r="N68">
        <v>8749.0059999999994</v>
      </c>
      <c r="O68">
        <v>355816.416544821</v>
      </c>
      <c r="P68">
        <v>182926.48073286499</v>
      </c>
      <c r="Q68">
        <v>538742.89727768698</v>
      </c>
      <c r="S68">
        <v>8749.0059999999994</v>
      </c>
      <c r="T68">
        <v>147866.80979024601</v>
      </c>
      <c r="W68">
        <v>8749.0059999999994</v>
      </c>
      <c r="X68">
        <v>-10738.8840772613</v>
      </c>
    </row>
    <row r="69" spans="7:24" x14ac:dyDescent="0.25">
      <c r="G69">
        <v>8750.0059999999994</v>
      </c>
      <c r="H69">
        <v>532025.62989662203</v>
      </c>
      <c r="I69">
        <v>-77707.234006619998</v>
      </c>
      <c r="J69">
        <v>454318.39588999801</v>
      </c>
      <c r="K69">
        <v>-77655.056745676105</v>
      </c>
      <c r="L69">
        <v>4538.2566494821203</v>
      </c>
      <c r="N69">
        <v>8750.0059999999994</v>
      </c>
      <c r="O69">
        <v>355878.83154482098</v>
      </c>
      <c r="P69">
        <v>182947.38673286501</v>
      </c>
      <c r="Q69">
        <v>538826.21827768697</v>
      </c>
      <c r="S69">
        <v>8750.0059999999994</v>
      </c>
      <c r="T69">
        <v>147867.011790246</v>
      </c>
      <c r="W69">
        <v>8750.0059999999994</v>
      </c>
      <c r="X69">
        <v>-10728.0150772613</v>
      </c>
    </row>
    <row r="70" spans="7:24" x14ac:dyDescent="0.25">
      <c r="G70">
        <v>8751.0059999999994</v>
      </c>
      <c r="H70">
        <v>532042.79289662198</v>
      </c>
      <c r="I70">
        <v>-77649.747006620004</v>
      </c>
      <c r="J70">
        <v>454393.04588999797</v>
      </c>
      <c r="K70">
        <v>-77597.569745676097</v>
      </c>
      <c r="L70">
        <v>4538.1996494821196</v>
      </c>
      <c r="N70">
        <v>8751.0059999999994</v>
      </c>
      <c r="O70">
        <v>355949.37754482101</v>
      </c>
      <c r="P70">
        <v>182968.292732865</v>
      </c>
      <c r="Q70">
        <v>538917.67027768702</v>
      </c>
      <c r="S70">
        <v>8751.0059999999994</v>
      </c>
      <c r="T70">
        <v>147867.183790246</v>
      </c>
      <c r="W70">
        <v>8751.0059999999994</v>
      </c>
      <c r="X70">
        <v>-10716.771077261301</v>
      </c>
    </row>
    <row r="71" spans="7:24" x14ac:dyDescent="0.25">
      <c r="G71">
        <v>8752.0059999999994</v>
      </c>
      <c r="H71">
        <v>532059.95589662204</v>
      </c>
      <c r="I71">
        <v>-77577.940006620003</v>
      </c>
      <c r="J71">
        <v>454482.015889998</v>
      </c>
      <c r="K71">
        <v>-77525.762745676097</v>
      </c>
      <c r="L71">
        <v>4538.16564948212</v>
      </c>
      <c r="N71">
        <v>8752.0059999999994</v>
      </c>
      <c r="O71">
        <v>356038.997544821</v>
      </c>
      <c r="P71">
        <v>182989.19873286501</v>
      </c>
      <c r="Q71">
        <v>539028.19627768698</v>
      </c>
      <c r="S71">
        <v>8752.0059999999994</v>
      </c>
      <c r="T71">
        <v>147867.30779024601</v>
      </c>
      <c r="W71">
        <v>8752.0059999999994</v>
      </c>
      <c r="X71">
        <v>-10702.727077261299</v>
      </c>
    </row>
    <row r="72" spans="7:24" x14ac:dyDescent="0.25">
      <c r="G72">
        <v>8753.0059999999994</v>
      </c>
      <c r="H72">
        <v>532077.11889662198</v>
      </c>
      <c r="I72">
        <v>-77485.533006619997</v>
      </c>
      <c r="J72">
        <v>454591.58588999801</v>
      </c>
      <c r="K72">
        <v>-77433.355745676105</v>
      </c>
      <c r="L72">
        <v>4538.1286494821197</v>
      </c>
      <c r="N72">
        <v>8753.0059999999994</v>
      </c>
      <c r="O72">
        <v>356154.46454482101</v>
      </c>
      <c r="P72">
        <v>183010.104732865</v>
      </c>
      <c r="Q72">
        <v>539164.569277687</v>
      </c>
      <c r="S72">
        <v>8753.0059999999994</v>
      </c>
      <c r="T72">
        <v>147867.397790246</v>
      </c>
      <c r="W72">
        <v>8753.0059999999994</v>
      </c>
      <c r="X72">
        <v>-10684.1840772613</v>
      </c>
    </row>
    <row r="73" spans="7:24" x14ac:dyDescent="0.25">
      <c r="G73">
        <v>8754.0059999999994</v>
      </c>
      <c r="H73">
        <v>532094.28089662199</v>
      </c>
      <c r="I73">
        <v>-77394.465006619997</v>
      </c>
      <c r="J73">
        <v>454699.81588999799</v>
      </c>
      <c r="K73">
        <v>-77342.287745676105</v>
      </c>
      <c r="L73">
        <v>4538.1306494821201</v>
      </c>
      <c r="N73">
        <v>8754.0059999999994</v>
      </c>
      <c r="O73">
        <v>356266.28754482098</v>
      </c>
      <c r="P73">
        <v>183031.01073286499</v>
      </c>
      <c r="Q73">
        <v>539297.298277686</v>
      </c>
      <c r="S73">
        <v>8754.0059999999994</v>
      </c>
      <c r="T73">
        <v>147867.53879024601</v>
      </c>
      <c r="W73">
        <v>8754.0059999999994</v>
      </c>
      <c r="X73">
        <v>-10666.582077261301</v>
      </c>
    </row>
    <row r="74" spans="7:24" x14ac:dyDescent="0.25">
      <c r="G74">
        <v>8755.0059999999994</v>
      </c>
      <c r="H74">
        <v>532111.44389662205</v>
      </c>
      <c r="I74">
        <v>-77326.008006620003</v>
      </c>
      <c r="J74">
        <v>454785.43588999799</v>
      </c>
      <c r="K74">
        <v>-77273.830745676096</v>
      </c>
      <c r="L74">
        <v>4538.13464948212</v>
      </c>
      <c r="N74">
        <v>8755.0059999999994</v>
      </c>
      <c r="O74">
        <v>356348.20254482102</v>
      </c>
      <c r="P74">
        <v>183051.91673286501</v>
      </c>
      <c r="Q74">
        <v>539400.118277687</v>
      </c>
      <c r="S74">
        <v>8755.0059999999994</v>
      </c>
      <c r="T74">
        <v>147867.58979024601</v>
      </c>
      <c r="W74">
        <v>8755.0059999999994</v>
      </c>
      <c r="X74">
        <v>-10654.7690772613</v>
      </c>
    </row>
    <row r="75" spans="7:24" x14ac:dyDescent="0.25">
      <c r="G75">
        <v>8756.0059999999994</v>
      </c>
      <c r="H75">
        <v>532128.60689662199</v>
      </c>
      <c r="I75">
        <v>-77251.841006620001</v>
      </c>
      <c r="J75">
        <v>454876.765889998</v>
      </c>
      <c r="K75">
        <v>-77199.663745676095</v>
      </c>
      <c r="L75">
        <v>4538.0376494821203</v>
      </c>
      <c r="N75">
        <v>8756.0059999999994</v>
      </c>
      <c r="O75">
        <v>356434.90254482097</v>
      </c>
      <c r="P75">
        <v>183072.822732865</v>
      </c>
      <c r="Q75">
        <v>539507.72527768696</v>
      </c>
      <c r="S75">
        <v>8756.0059999999994</v>
      </c>
      <c r="T75">
        <v>147867.70679024601</v>
      </c>
      <c r="W75">
        <v>8756.0059999999994</v>
      </c>
      <c r="X75">
        <v>-10642.335077261299</v>
      </c>
    </row>
    <row r="76" spans="7:24" x14ac:dyDescent="0.25">
      <c r="G76">
        <v>8757.0059999999994</v>
      </c>
      <c r="H76">
        <v>532139.90289662196</v>
      </c>
      <c r="I76">
        <v>-77188.197006620001</v>
      </c>
      <c r="J76">
        <v>454951.705889998</v>
      </c>
      <c r="K76">
        <v>-77136.019745676094</v>
      </c>
      <c r="L76">
        <v>4538.0166494821196</v>
      </c>
      <c r="N76">
        <v>8757.0059999999994</v>
      </c>
      <c r="O76">
        <v>356508.16154482099</v>
      </c>
      <c r="P76">
        <v>183093.72773286499</v>
      </c>
      <c r="Q76">
        <v>539601.88927768695</v>
      </c>
      <c r="S76">
        <v>8757.0059999999994</v>
      </c>
      <c r="T76">
        <v>147867.75479024599</v>
      </c>
      <c r="W76">
        <v>8757.0059999999994</v>
      </c>
      <c r="X76">
        <v>-10631.9610772613</v>
      </c>
    </row>
    <row r="77" spans="7:24" x14ac:dyDescent="0.25">
      <c r="G77">
        <v>8758.0059999999994</v>
      </c>
      <c r="H77">
        <v>532139.90289662196</v>
      </c>
      <c r="I77">
        <v>-77119.697006620001</v>
      </c>
      <c r="J77">
        <v>455020.205889998</v>
      </c>
      <c r="K77">
        <v>-77067.519745676094</v>
      </c>
      <c r="L77">
        <v>4538.0166494821196</v>
      </c>
      <c r="N77">
        <v>8758.0059999999994</v>
      </c>
      <c r="O77">
        <v>356584.812544821</v>
      </c>
      <c r="P77">
        <v>183114.63373286501</v>
      </c>
      <c r="Q77">
        <v>539699.44627768698</v>
      </c>
      <c r="S77">
        <v>8758.0059999999994</v>
      </c>
      <c r="T77">
        <v>147867.75479024599</v>
      </c>
      <c r="W77">
        <v>8758.0059999999994</v>
      </c>
      <c r="X77">
        <v>-10620.832077261301</v>
      </c>
    </row>
    <row r="78" spans="7:24" x14ac:dyDescent="0.25">
      <c r="G78">
        <v>8759.0059999999994</v>
      </c>
      <c r="H78">
        <v>532139.90289662196</v>
      </c>
      <c r="I78">
        <v>-77059.917006620002</v>
      </c>
      <c r="J78">
        <v>455079.98588999797</v>
      </c>
      <c r="K78">
        <v>-77007.709745676097</v>
      </c>
      <c r="L78">
        <v>4538.0166494821196</v>
      </c>
      <c r="N78">
        <v>8759.0059999999994</v>
      </c>
      <c r="O78">
        <v>356645.98454482103</v>
      </c>
      <c r="P78">
        <v>183135.539732865</v>
      </c>
      <c r="Q78">
        <v>539781.52427768696</v>
      </c>
      <c r="S78">
        <v>8759.0059999999994</v>
      </c>
      <c r="T78">
        <v>147867.75479024599</v>
      </c>
      <c r="W78">
        <v>8759.0059999999994</v>
      </c>
      <c r="X78">
        <v>-10611.1960772613</v>
      </c>
    </row>
    <row r="79" spans="7:24" x14ac:dyDescent="0.25">
      <c r="G79">
        <v>8760.0059999999994</v>
      </c>
      <c r="H79">
        <v>532139.90289662196</v>
      </c>
      <c r="I79">
        <v>-77012.397006619998</v>
      </c>
      <c r="J79">
        <v>455127.50588999799</v>
      </c>
      <c r="K79">
        <v>-76960.189745676107</v>
      </c>
      <c r="L79">
        <v>4538.0166494821196</v>
      </c>
      <c r="N79">
        <v>8760.0059999999994</v>
      </c>
      <c r="O79">
        <v>356693.77054482099</v>
      </c>
      <c r="P79">
        <v>183156.44573286499</v>
      </c>
      <c r="Q79">
        <v>539850.216277687</v>
      </c>
      <c r="S79">
        <v>8760.0059999999994</v>
      </c>
      <c r="T79">
        <v>147867.75479024599</v>
      </c>
      <c r="W79">
        <v>8760.0059999999994</v>
      </c>
      <c r="X79">
        <v>-10602.727077261299</v>
      </c>
    </row>
    <row r="80" spans="7:24" x14ac:dyDescent="0.25">
      <c r="G80">
        <v>8761.0059999999994</v>
      </c>
      <c r="H80">
        <v>532139.90289662196</v>
      </c>
      <c r="I80">
        <v>-76973.297006620007</v>
      </c>
      <c r="J80">
        <v>455166.60588999803</v>
      </c>
      <c r="K80">
        <v>-76921.089745676101</v>
      </c>
      <c r="L80">
        <v>4538.0166494821196</v>
      </c>
      <c r="N80">
        <v>8761.0059999999994</v>
      </c>
      <c r="O80">
        <v>356730.40654482099</v>
      </c>
      <c r="P80">
        <v>183177.35173286501</v>
      </c>
      <c r="Q80">
        <v>539907.75827768701</v>
      </c>
      <c r="S80">
        <v>8761.0059999999994</v>
      </c>
      <c r="T80">
        <v>147867.75479024599</v>
      </c>
      <c r="W80">
        <v>8761.0059999999994</v>
      </c>
      <c r="X80">
        <v>-10595.4270772613</v>
      </c>
    </row>
    <row r="81" spans="7:24" x14ac:dyDescent="0.25">
      <c r="G81">
        <v>8762.0059999999994</v>
      </c>
      <c r="H81">
        <v>532139.90289662196</v>
      </c>
      <c r="I81">
        <v>-76938.83700662</v>
      </c>
      <c r="J81">
        <v>455201.06588999799</v>
      </c>
      <c r="K81">
        <v>-76886.629745676095</v>
      </c>
      <c r="L81">
        <v>4538.0166494821196</v>
      </c>
      <c r="N81">
        <v>8762.0059999999994</v>
      </c>
      <c r="O81">
        <v>356757.296544821</v>
      </c>
      <c r="P81">
        <v>183198.25773286499</v>
      </c>
      <c r="Q81">
        <v>539955.55327768601</v>
      </c>
      <c r="S81">
        <v>8762.0059999999994</v>
      </c>
      <c r="T81">
        <v>147867.75479024599</v>
      </c>
      <c r="W81">
        <v>8762.0059999999994</v>
      </c>
      <c r="X81">
        <v>-10589.7850772613</v>
      </c>
    </row>
    <row r="82" spans="7:24" x14ac:dyDescent="0.25">
      <c r="G82">
        <v>8763.0059999999994</v>
      </c>
      <c r="H82">
        <v>532139.90289662196</v>
      </c>
      <c r="I82">
        <v>-76907.377006619994</v>
      </c>
      <c r="J82">
        <v>455232.52588999801</v>
      </c>
      <c r="K82">
        <v>-76855.1197456761</v>
      </c>
      <c r="L82">
        <v>4538.0166494821196</v>
      </c>
      <c r="N82">
        <v>8763.0059999999994</v>
      </c>
      <c r="O82">
        <v>356767.09854482103</v>
      </c>
      <c r="P82">
        <v>183219.16373286501</v>
      </c>
      <c r="Q82">
        <v>539986.26227768697</v>
      </c>
      <c r="S82">
        <v>8763.0059999999994</v>
      </c>
      <c r="T82">
        <v>147867.75479024599</v>
      </c>
      <c r="W82">
        <v>8763.0059999999994</v>
      </c>
      <c r="X82">
        <v>-10585.165077261299</v>
      </c>
    </row>
    <row r="83" spans="7:24" x14ac:dyDescent="0.25">
      <c r="G83">
        <v>8764.0059999999994</v>
      </c>
      <c r="H83">
        <v>532139.90289662196</v>
      </c>
      <c r="I83">
        <v>-76878.267006619993</v>
      </c>
      <c r="J83">
        <v>455261.635889998</v>
      </c>
      <c r="K83">
        <v>-76825.969745676106</v>
      </c>
      <c r="L83">
        <v>4538.0166494821196</v>
      </c>
      <c r="N83">
        <v>8764.0059999999994</v>
      </c>
      <c r="O83">
        <v>356770.66454482102</v>
      </c>
      <c r="P83">
        <v>183240.069732865</v>
      </c>
      <c r="Q83">
        <v>540010.73427768599</v>
      </c>
      <c r="S83">
        <v>8764.0059999999994</v>
      </c>
      <c r="T83">
        <v>147867.75479024599</v>
      </c>
      <c r="W83">
        <v>8764.0059999999994</v>
      </c>
      <c r="X83">
        <v>-10580.1880772613</v>
      </c>
    </row>
    <row r="84" spans="7:24" x14ac:dyDescent="0.25">
      <c r="G84">
        <v>8765.0059999999994</v>
      </c>
      <c r="H84">
        <v>532139.90289662196</v>
      </c>
      <c r="I84">
        <v>-76849.037006619998</v>
      </c>
      <c r="J84">
        <v>455290.86588999798</v>
      </c>
      <c r="K84">
        <v>-76796.739745676095</v>
      </c>
      <c r="L84">
        <v>4538.0166494821196</v>
      </c>
      <c r="N84">
        <v>8765.0059999999994</v>
      </c>
      <c r="O84">
        <v>356778.68954482098</v>
      </c>
      <c r="P84">
        <v>183260.97573286499</v>
      </c>
      <c r="Q84">
        <v>540039.66427768697</v>
      </c>
      <c r="S84">
        <v>8765.0059999999994</v>
      </c>
      <c r="T84">
        <v>147867.75479024599</v>
      </c>
      <c r="W84">
        <v>8765.0059999999994</v>
      </c>
      <c r="X84">
        <v>-10574.9350772613</v>
      </c>
    </row>
    <row r="85" spans="7:24" x14ac:dyDescent="0.25">
      <c r="G85">
        <v>8766.0059999999994</v>
      </c>
      <c r="H85">
        <v>532139.90289662196</v>
      </c>
      <c r="I85">
        <v>-76814.217006620005</v>
      </c>
      <c r="J85">
        <v>455325.68588999799</v>
      </c>
      <c r="K85">
        <v>-76761.919745676103</v>
      </c>
      <c r="L85">
        <v>4538.0166494821196</v>
      </c>
      <c r="N85">
        <v>8766.0059999999994</v>
      </c>
      <c r="O85">
        <v>356796.04054482101</v>
      </c>
      <c r="P85">
        <v>183281.88073286499</v>
      </c>
      <c r="Q85">
        <v>540077.922277687</v>
      </c>
      <c r="S85">
        <v>8766.0059999999994</v>
      </c>
      <c r="T85">
        <v>147867.75479024599</v>
      </c>
      <c r="W85">
        <v>8766.0059999999994</v>
      </c>
      <c r="X85">
        <v>-10567.5270772613</v>
      </c>
    </row>
    <row r="86" spans="7:24" x14ac:dyDescent="0.25">
      <c r="G86">
        <v>8767.0059999999994</v>
      </c>
      <c r="H86">
        <v>532139.90289662196</v>
      </c>
      <c r="I86">
        <v>-76770.967006620005</v>
      </c>
      <c r="J86">
        <v>455368.93588999799</v>
      </c>
      <c r="K86">
        <v>-76718.669745676103</v>
      </c>
      <c r="L86">
        <v>4538.0166494821196</v>
      </c>
      <c r="N86">
        <v>8767.0059999999994</v>
      </c>
      <c r="O86">
        <v>356837.66254482098</v>
      </c>
      <c r="P86">
        <v>183302.786732865</v>
      </c>
      <c r="Q86">
        <v>540140.449277687</v>
      </c>
      <c r="S86">
        <v>8767.0059999999994</v>
      </c>
      <c r="T86">
        <v>147867.75479024599</v>
      </c>
      <c r="W86">
        <v>8767.0059999999994</v>
      </c>
      <c r="X86">
        <v>-10558.323077261301</v>
      </c>
    </row>
    <row r="87" spans="7:24" x14ac:dyDescent="0.25">
      <c r="G87">
        <v>8768.0059999999994</v>
      </c>
      <c r="H87">
        <v>532139.90289662196</v>
      </c>
      <c r="I87">
        <v>-76717.527006620003</v>
      </c>
      <c r="J87">
        <v>455422.37588999799</v>
      </c>
      <c r="K87">
        <v>-76665.149745676099</v>
      </c>
      <c r="L87">
        <v>4538.0166494821196</v>
      </c>
      <c r="N87">
        <v>8768.0059999999994</v>
      </c>
      <c r="O87">
        <v>356897.79054482101</v>
      </c>
      <c r="P87">
        <v>183323.69273286499</v>
      </c>
      <c r="Q87">
        <v>540221.48327768699</v>
      </c>
      <c r="S87">
        <v>8768.0059999999994</v>
      </c>
      <c r="T87">
        <v>147867.75479024599</v>
      </c>
      <c r="W87">
        <v>8768.0059999999994</v>
      </c>
      <c r="X87">
        <v>-10546.8760772613</v>
      </c>
    </row>
    <row r="88" spans="7:24" x14ac:dyDescent="0.25">
      <c r="G88">
        <v>8769.0059999999994</v>
      </c>
      <c r="H88">
        <v>532139.90289662196</v>
      </c>
      <c r="I88">
        <v>-76657.457006619996</v>
      </c>
      <c r="J88">
        <v>455482.44588999799</v>
      </c>
      <c r="K88">
        <v>-76605.059745676102</v>
      </c>
      <c r="L88">
        <v>4538.0166494821196</v>
      </c>
      <c r="N88">
        <v>8769.0059999999994</v>
      </c>
      <c r="O88">
        <v>356967.182544821</v>
      </c>
      <c r="P88">
        <v>183344.59873286501</v>
      </c>
      <c r="Q88">
        <v>540311.78127768601</v>
      </c>
      <c r="S88">
        <v>8769.0059999999994</v>
      </c>
      <c r="T88">
        <v>147867.75479024599</v>
      </c>
      <c r="W88">
        <v>8769.0059999999994</v>
      </c>
      <c r="X88">
        <v>-10533.316077261299</v>
      </c>
    </row>
    <row r="89" spans="7:24" x14ac:dyDescent="0.25">
      <c r="G89">
        <v>8770.0059999999994</v>
      </c>
      <c r="H89">
        <v>532160.75989662204</v>
      </c>
      <c r="I89">
        <v>-76596.934006619995</v>
      </c>
      <c r="J89">
        <v>455563.825889998</v>
      </c>
      <c r="K89">
        <v>-76544.536745676101</v>
      </c>
      <c r="L89">
        <v>4537.9866494821199</v>
      </c>
      <c r="N89">
        <v>8770.0059999999994</v>
      </c>
      <c r="O89">
        <v>357038.791544821</v>
      </c>
      <c r="P89">
        <v>183365.504732865</v>
      </c>
      <c r="Q89">
        <v>540404.29627768695</v>
      </c>
      <c r="S89">
        <v>8770.0059999999994</v>
      </c>
      <c r="T89">
        <v>147868.03479024599</v>
      </c>
      <c r="W89">
        <v>8770.0059999999994</v>
      </c>
      <c r="X89">
        <v>-10519.3090772613</v>
      </c>
    </row>
    <row r="90" spans="7:24" x14ac:dyDescent="0.25">
      <c r="G90">
        <v>8771.0059999999994</v>
      </c>
      <c r="H90">
        <v>532187.64789662196</v>
      </c>
      <c r="I90">
        <v>-76534.732006620005</v>
      </c>
      <c r="J90">
        <v>455652.91588999802</v>
      </c>
      <c r="K90">
        <v>-76482.334745676097</v>
      </c>
      <c r="L90">
        <v>4538.1706494821201</v>
      </c>
      <c r="N90">
        <v>8771.0059999999994</v>
      </c>
      <c r="O90">
        <v>357113.31354482099</v>
      </c>
      <c r="P90">
        <v>183386.41073286501</v>
      </c>
      <c r="Q90">
        <v>540499.72427768703</v>
      </c>
      <c r="S90">
        <v>8771.0059999999994</v>
      </c>
      <c r="T90">
        <v>147868.83679024599</v>
      </c>
      <c r="W90">
        <v>8771.0059999999994</v>
      </c>
      <c r="X90">
        <v>-10503.8810772613</v>
      </c>
    </row>
    <row r="91" spans="7:24" x14ac:dyDescent="0.25">
      <c r="G91">
        <v>8772.0059999999994</v>
      </c>
      <c r="H91">
        <v>532215.75389662199</v>
      </c>
      <c r="I91">
        <v>-76467.328006619995</v>
      </c>
      <c r="J91">
        <v>455748.42588999798</v>
      </c>
      <c r="K91">
        <v>-76414.930745676102</v>
      </c>
      <c r="L91">
        <v>4538.2116494821203</v>
      </c>
      <c r="N91">
        <v>8772.0059999999994</v>
      </c>
      <c r="O91">
        <v>357194.27054482099</v>
      </c>
      <c r="P91">
        <v>183407.316732865</v>
      </c>
      <c r="Q91">
        <v>540601.58727768599</v>
      </c>
      <c r="S91">
        <v>8772.0059999999994</v>
      </c>
      <c r="T91">
        <v>147869.64379024599</v>
      </c>
      <c r="W91">
        <v>8772.0059999999994</v>
      </c>
      <c r="X91">
        <v>-10485.994077261301</v>
      </c>
    </row>
    <row r="92" spans="7:24" x14ac:dyDescent="0.25">
      <c r="G92">
        <v>8773.0059999999994</v>
      </c>
      <c r="H92">
        <v>532233.66489662195</v>
      </c>
      <c r="I92">
        <v>-76382.439006619999</v>
      </c>
      <c r="J92">
        <v>455851.22588999802</v>
      </c>
      <c r="K92">
        <v>-76330.041745676106</v>
      </c>
      <c r="L92">
        <v>4538.2376494821201</v>
      </c>
      <c r="N92">
        <v>8773.0059999999994</v>
      </c>
      <c r="O92">
        <v>357296.54354482098</v>
      </c>
      <c r="P92">
        <v>183428.22273286499</v>
      </c>
      <c r="Q92">
        <v>540724.76627768599</v>
      </c>
      <c r="S92">
        <v>8773.0059999999994</v>
      </c>
      <c r="T92">
        <v>147869.79879024599</v>
      </c>
      <c r="W92">
        <v>8773.0059999999994</v>
      </c>
      <c r="X92">
        <v>-10462.698077261301</v>
      </c>
    </row>
    <row r="93" spans="7:24" x14ac:dyDescent="0.25">
      <c r="G93">
        <v>8774.0059999999994</v>
      </c>
      <c r="H93">
        <v>532239.42489662196</v>
      </c>
      <c r="I93">
        <v>-76293.259006620006</v>
      </c>
      <c r="J93">
        <v>455946.16588999802</v>
      </c>
      <c r="K93">
        <v>-76240.861745676099</v>
      </c>
      <c r="L93">
        <v>4538.2396494821196</v>
      </c>
      <c r="N93">
        <v>8774.0059999999994</v>
      </c>
      <c r="O93">
        <v>357405.45154482097</v>
      </c>
      <c r="P93">
        <v>183449.12873286501</v>
      </c>
      <c r="Q93">
        <v>540854.57927768701</v>
      </c>
      <c r="S93">
        <v>8774.0059999999994</v>
      </c>
      <c r="T93">
        <v>147869.80179024601</v>
      </c>
      <c r="W93">
        <v>8774.0059999999994</v>
      </c>
      <c r="X93">
        <v>-10436.0790772613</v>
      </c>
    </row>
    <row r="94" spans="7:24" x14ac:dyDescent="0.25">
      <c r="G94">
        <v>8775.0059999999994</v>
      </c>
      <c r="H94">
        <v>532240.17289662198</v>
      </c>
      <c r="I94">
        <v>-76201.237006619995</v>
      </c>
      <c r="J94">
        <v>456038.93588999799</v>
      </c>
      <c r="K94">
        <v>-76148.839745676101</v>
      </c>
      <c r="L94">
        <v>4538.2396494821196</v>
      </c>
      <c r="N94">
        <v>8775.0059999999994</v>
      </c>
      <c r="O94">
        <v>357521.19154482102</v>
      </c>
      <c r="P94">
        <v>183470.03373286501</v>
      </c>
      <c r="Q94">
        <v>540991.22527768696</v>
      </c>
      <c r="S94">
        <v>8775.0059999999994</v>
      </c>
      <c r="T94">
        <v>147869.80179024601</v>
      </c>
      <c r="W94">
        <v>8775.0059999999994</v>
      </c>
      <c r="X94">
        <v>-10406.9250772613</v>
      </c>
    </row>
    <row r="95" spans="7:24" x14ac:dyDescent="0.25">
      <c r="G95">
        <v>8776.0059999999994</v>
      </c>
      <c r="H95">
        <v>532240.25589662197</v>
      </c>
      <c r="I95">
        <v>-76101.380006620006</v>
      </c>
      <c r="J95">
        <v>456138.87588999799</v>
      </c>
      <c r="K95">
        <v>-76048.982745676098</v>
      </c>
      <c r="L95">
        <v>4538.2396494821196</v>
      </c>
      <c r="N95">
        <v>8776.0059999999994</v>
      </c>
      <c r="O95">
        <v>357652.82254482101</v>
      </c>
      <c r="P95">
        <v>183490.93973286499</v>
      </c>
      <c r="Q95">
        <v>541143.76227768697</v>
      </c>
      <c r="S95">
        <v>8776.0059999999994</v>
      </c>
      <c r="T95">
        <v>147869.80179024601</v>
      </c>
      <c r="W95">
        <v>8776.0059999999994</v>
      </c>
      <c r="X95">
        <v>-10373.539077261299</v>
      </c>
    </row>
    <row r="96" spans="7:24" x14ac:dyDescent="0.25">
      <c r="G96">
        <v>8777.0059999999994</v>
      </c>
      <c r="H96">
        <v>532240.25589662197</v>
      </c>
      <c r="I96">
        <v>-75990.240006620006</v>
      </c>
      <c r="J96">
        <v>456250.015889998</v>
      </c>
      <c r="K96">
        <v>-75937.842745676098</v>
      </c>
      <c r="L96">
        <v>4538.2396494821196</v>
      </c>
      <c r="N96">
        <v>8777.0059999999994</v>
      </c>
      <c r="O96">
        <v>357801.231544821</v>
      </c>
      <c r="P96">
        <v>183511.84573286501</v>
      </c>
      <c r="Q96">
        <v>541313.07827768696</v>
      </c>
      <c r="S96">
        <v>8777.0059999999994</v>
      </c>
      <c r="T96">
        <v>147869.80179024601</v>
      </c>
      <c r="W96">
        <v>8777.0059999999994</v>
      </c>
      <c r="X96">
        <v>-10333.6770772613</v>
      </c>
    </row>
    <row r="97" spans="7:24" x14ac:dyDescent="0.25">
      <c r="G97">
        <v>8778.0059999999994</v>
      </c>
      <c r="H97">
        <v>532240.25589662197</v>
      </c>
      <c r="I97">
        <v>-75882.570006619993</v>
      </c>
      <c r="J97">
        <v>456357.68588999799</v>
      </c>
      <c r="K97">
        <v>-75830.1727456761</v>
      </c>
      <c r="L97">
        <v>4538.2396494821196</v>
      </c>
      <c r="N97">
        <v>8778.0059999999994</v>
      </c>
      <c r="O97">
        <v>357942.59854482103</v>
      </c>
      <c r="P97">
        <v>183532.751732865</v>
      </c>
      <c r="Q97">
        <v>541475.35027768696</v>
      </c>
      <c r="S97">
        <v>8778.0059999999994</v>
      </c>
      <c r="T97">
        <v>147869.80179024601</v>
      </c>
      <c r="W97">
        <v>8778.0059999999994</v>
      </c>
      <c r="X97">
        <v>-10293.084077261299</v>
      </c>
    </row>
    <row r="98" spans="7:24" x14ac:dyDescent="0.25">
      <c r="G98">
        <v>8779.0059999999994</v>
      </c>
      <c r="H98">
        <v>532240.263896622</v>
      </c>
      <c r="I98">
        <v>-75789.188006619996</v>
      </c>
      <c r="J98">
        <v>456451.075889998</v>
      </c>
      <c r="K98">
        <v>-75736.790745676102</v>
      </c>
      <c r="L98">
        <v>4538.2396494821196</v>
      </c>
      <c r="N98">
        <v>8779.0059999999994</v>
      </c>
      <c r="O98">
        <v>358059.910544821</v>
      </c>
      <c r="P98">
        <v>183553.65773286499</v>
      </c>
      <c r="Q98">
        <v>541613.56827768695</v>
      </c>
      <c r="S98">
        <v>8779.0059999999994</v>
      </c>
      <c r="T98">
        <v>147869.80179024601</v>
      </c>
      <c r="W98">
        <v>8779.0059999999994</v>
      </c>
      <c r="X98">
        <v>-10257.537077261301</v>
      </c>
    </row>
    <row r="99" spans="7:24" x14ac:dyDescent="0.25">
      <c r="G99">
        <v>8780.0059999999994</v>
      </c>
      <c r="H99">
        <v>532240.263896622</v>
      </c>
      <c r="I99">
        <v>-75705.498006619993</v>
      </c>
      <c r="J99">
        <v>456534.765889998</v>
      </c>
      <c r="K99">
        <v>-75653.1007456761</v>
      </c>
      <c r="L99">
        <v>4538.2396494821196</v>
      </c>
      <c r="N99">
        <v>8780.0059999999994</v>
      </c>
      <c r="O99">
        <v>358161.80054482102</v>
      </c>
      <c r="P99">
        <v>183574.563732865</v>
      </c>
      <c r="Q99">
        <v>541736.36427768599</v>
      </c>
      <c r="S99">
        <v>8780.0059999999994</v>
      </c>
      <c r="T99">
        <v>147869.80179024601</v>
      </c>
      <c r="W99">
        <v>8780.0059999999994</v>
      </c>
      <c r="X99">
        <v>-10226.093077261299</v>
      </c>
    </row>
    <row r="100" spans="7:24" x14ac:dyDescent="0.25">
      <c r="G100">
        <v>8781.0059999999994</v>
      </c>
      <c r="H100">
        <v>532240.263896622</v>
      </c>
      <c r="I100">
        <v>-75626.188006619996</v>
      </c>
      <c r="J100">
        <v>456614.075889998</v>
      </c>
      <c r="K100">
        <v>-75573.790745676102</v>
      </c>
      <c r="L100">
        <v>4538.2396494821196</v>
      </c>
      <c r="N100">
        <v>8781.0059999999994</v>
      </c>
      <c r="O100">
        <v>358258.18054482102</v>
      </c>
      <c r="P100">
        <v>183595.46973286499</v>
      </c>
      <c r="Q100">
        <v>541853.650277687</v>
      </c>
      <c r="S100">
        <v>8781.0059999999994</v>
      </c>
      <c r="T100">
        <v>147869.80179024601</v>
      </c>
      <c r="W100">
        <v>8781.0059999999994</v>
      </c>
      <c r="X100">
        <v>-10191.746077261299</v>
      </c>
    </row>
    <row r="101" spans="7:24" x14ac:dyDescent="0.25">
      <c r="G101">
        <v>8782.0059999999994</v>
      </c>
      <c r="H101">
        <v>532240.263896622</v>
      </c>
      <c r="I101">
        <v>-75558.248006619993</v>
      </c>
      <c r="J101">
        <v>456682.015889998</v>
      </c>
      <c r="K101">
        <v>-75505.8507456761</v>
      </c>
      <c r="L101">
        <v>4538.2396494821196</v>
      </c>
      <c r="N101">
        <v>8782.0059999999994</v>
      </c>
      <c r="O101">
        <v>358340.23754482099</v>
      </c>
      <c r="P101">
        <v>183616.37573286501</v>
      </c>
      <c r="Q101">
        <v>541956.61227768695</v>
      </c>
      <c r="S101">
        <v>8782.0059999999994</v>
      </c>
      <c r="T101">
        <v>147869.80179024601</v>
      </c>
      <c r="W101">
        <v>8782.0059999999994</v>
      </c>
      <c r="X101">
        <v>-10161.889077261299</v>
      </c>
    </row>
    <row r="102" spans="7:24" x14ac:dyDescent="0.25">
      <c r="G102">
        <v>8783.0059999999994</v>
      </c>
      <c r="H102">
        <v>532240.263896622</v>
      </c>
      <c r="I102">
        <v>-75495.078006619995</v>
      </c>
      <c r="J102">
        <v>456745.18588999799</v>
      </c>
      <c r="K102">
        <v>-75442.680745676102</v>
      </c>
      <c r="L102">
        <v>4538.2396494821196</v>
      </c>
      <c r="N102">
        <v>8783.0059999999994</v>
      </c>
      <c r="O102">
        <v>358415.21254482103</v>
      </c>
      <c r="P102">
        <v>183637.28073286501</v>
      </c>
      <c r="Q102">
        <v>542052.494277686</v>
      </c>
      <c r="S102">
        <v>8783.0059999999994</v>
      </c>
      <c r="T102">
        <v>147869.80179024601</v>
      </c>
      <c r="W102">
        <v>8783.0059999999994</v>
      </c>
      <c r="X102">
        <v>-10137.4160772613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9C4D-5907-4166-9095-50D879E6994F}">
  <dimension ref="G2:W102"/>
  <sheetViews>
    <sheetView topLeftCell="A98" workbookViewId="0">
      <selection activeCell="G102" sqref="G102"/>
    </sheetView>
  </sheetViews>
  <sheetFormatPr defaultRowHeight="15" x14ac:dyDescent="0.25"/>
  <cols>
    <col min="8" max="8" width="28.85546875" bestFit="1" customWidth="1"/>
  </cols>
  <sheetData>
    <row r="2" spans="7:23" x14ac:dyDescent="0.25">
      <c r="H2" t="s">
        <v>46</v>
      </c>
      <c r="I2" t="s">
        <v>47</v>
      </c>
      <c r="J2" t="s">
        <v>48</v>
      </c>
      <c r="K2" t="s">
        <v>49</v>
      </c>
      <c r="L2" t="s">
        <v>50</v>
      </c>
      <c r="O2" t="s">
        <v>51</v>
      </c>
      <c r="P2" t="s">
        <v>40</v>
      </c>
      <c r="Q2" t="s">
        <v>41</v>
      </c>
      <c r="T2" t="s">
        <v>52</v>
      </c>
      <c r="W2" t="s">
        <v>42</v>
      </c>
    </row>
    <row r="3" spans="7:23" x14ac:dyDescent="0.25">
      <c r="G3">
        <v>8660.0059999999994</v>
      </c>
      <c r="H3">
        <v>425182.30140983401</v>
      </c>
      <c r="I3">
        <v>23647.114480166001</v>
      </c>
      <c r="J3">
        <v>448829.41588999802</v>
      </c>
      <c r="K3">
        <v>23698.746585381701</v>
      </c>
      <c r="L3">
        <v>-7.9973719347691402E-2</v>
      </c>
      <c r="N3">
        <v>8660.0059999999994</v>
      </c>
      <c r="O3">
        <v>403354.08683479601</v>
      </c>
      <c r="P3">
        <v>181065.85752738599</v>
      </c>
      <c r="Q3">
        <v>584419.94436218299</v>
      </c>
      <c r="S3">
        <v>8660.0059999999994</v>
      </c>
      <c r="T3">
        <v>113196.39337856699</v>
      </c>
      <c r="V3">
        <v>8660.0059999999994</v>
      </c>
      <c r="W3">
        <v>21632.015148908798</v>
      </c>
    </row>
    <row r="4" spans="7:23" x14ac:dyDescent="0.25">
      <c r="G4">
        <v>8661.0059999999994</v>
      </c>
      <c r="H4">
        <v>425182.30140983401</v>
      </c>
      <c r="I4">
        <v>23727.184480166001</v>
      </c>
      <c r="J4">
        <v>448909.48588999797</v>
      </c>
      <c r="K4">
        <v>23778.816585381701</v>
      </c>
      <c r="L4">
        <v>-7.9973719347691402E-2</v>
      </c>
      <c r="N4">
        <v>8661.0059999999994</v>
      </c>
      <c r="O4">
        <v>403430.065834796</v>
      </c>
      <c r="P4">
        <v>181086.76352738601</v>
      </c>
      <c r="Q4">
        <v>584516.82936218299</v>
      </c>
      <c r="S4">
        <v>8661.0059999999994</v>
      </c>
      <c r="T4">
        <v>113196.39337856699</v>
      </c>
      <c r="V4">
        <v>8661.0059999999994</v>
      </c>
      <c r="W4">
        <v>21652.446148908799</v>
      </c>
    </row>
    <row r="5" spans="7:23" x14ac:dyDescent="0.25">
      <c r="G5">
        <v>8662.0059999999994</v>
      </c>
      <c r="H5">
        <v>425182.30140983401</v>
      </c>
      <c r="I5">
        <v>23792.464480166</v>
      </c>
      <c r="J5">
        <v>448974.765889998</v>
      </c>
      <c r="K5">
        <v>23844.0965853817</v>
      </c>
      <c r="L5">
        <v>-7.9973719347691402E-2</v>
      </c>
      <c r="N5">
        <v>8662.0059999999994</v>
      </c>
      <c r="O5">
        <v>403485.24183479598</v>
      </c>
      <c r="P5">
        <v>181107.669527386</v>
      </c>
      <c r="Q5">
        <v>584592.91136218305</v>
      </c>
      <c r="S5">
        <v>8662.0059999999994</v>
      </c>
      <c r="T5">
        <v>113196.39337856699</v>
      </c>
      <c r="V5">
        <v>8662.0059999999994</v>
      </c>
      <c r="W5">
        <v>21667.8091489088</v>
      </c>
    </row>
    <row r="6" spans="7:23" x14ac:dyDescent="0.25">
      <c r="G6">
        <v>8663.0059999999994</v>
      </c>
      <c r="H6">
        <v>425182.30140983401</v>
      </c>
      <c r="I6">
        <v>23848.424480165999</v>
      </c>
      <c r="J6">
        <v>449030.72588999802</v>
      </c>
      <c r="K6">
        <v>23900.056585381699</v>
      </c>
      <c r="L6">
        <v>-7.9973719347691402E-2</v>
      </c>
      <c r="N6">
        <v>8663.0059999999994</v>
      </c>
      <c r="O6">
        <v>403529.36783479602</v>
      </c>
      <c r="P6">
        <v>181128.57552738601</v>
      </c>
      <c r="Q6">
        <v>584657.94336218305</v>
      </c>
      <c r="S6">
        <v>8663.0059999999994</v>
      </c>
      <c r="T6">
        <v>113196.39337856699</v>
      </c>
      <c r="V6">
        <v>8663.0059999999994</v>
      </c>
      <c r="W6">
        <v>21677.107148908799</v>
      </c>
    </row>
    <row r="7" spans="7:23" x14ac:dyDescent="0.25">
      <c r="G7">
        <v>8664.0059999999994</v>
      </c>
      <c r="H7">
        <v>425182.30140983401</v>
      </c>
      <c r="I7">
        <v>23898.724480166002</v>
      </c>
      <c r="J7">
        <v>449081.02588999801</v>
      </c>
      <c r="K7">
        <v>23950.356585381702</v>
      </c>
      <c r="L7">
        <v>-7.9973719347691402E-2</v>
      </c>
      <c r="N7">
        <v>8664.0059999999994</v>
      </c>
      <c r="O7">
        <v>403569.14283479599</v>
      </c>
      <c r="P7">
        <v>181149.481527386</v>
      </c>
      <c r="Q7">
        <v>584718.62436218304</v>
      </c>
      <c r="S7">
        <v>8664.0059999999994</v>
      </c>
      <c r="T7">
        <v>113196.39337856699</v>
      </c>
      <c r="V7">
        <v>8664.0059999999994</v>
      </c>
      <c r="W7">
        <v>21684.9881489088</v>
      </c>
    </row>
    <row r="8" spans="7:23" x14ac:dyDescent="0.25">
      <c r="G8">
        <v>8665.0059999999994</v>
      </c>
      <c r="H8">
        <v>425182.30140983401</v>
      </c>
      <c r="I8">
        <v>23935.724480166002</v>
      </c>
      <c r="J8">
        <v>449118.02588999801</v>
      </c>
      <c r="K8">
        <v>23987.356585381702</v>
      </c>
      <c r="L8">
        <v>-7.9973719347691402E-2</v>
      </c>
      <c r="N8">
        <v>8665.0059999999994</v>
      </c>
      <c r="O8">
        <v>403593.01883479598</v>
      </c>
      <c r="P8">
        <v>181170.386527386</v>
      </c>
      <c r="Q8">
        <v>584763.405362183</v>
      </c>
      <c r="S8">
        <v>8665.0059999999994</v>
      </c>
      <c r="T8">
        <v>113196.39337856699</v>
      </c>
      <c r="V8">
        <v>8665.0059999999994</v>
      </c>
      <c r="W8">
        <v>21690.179148908799</v>
      </c>
    </row>
    <row r="9" spans="7:23" x14ac:dyDescent="0.25">
      <c r="G9">
        <v>8666.0059999999994</v>
      </c>
      <c r="H9">
        <v>425182.30140983401</v>
      </c>
      <c r="I9">
        <v>23967.834480165999</v>
      </c>
      <c r="J9">
        <v>449150.135889998</v>
      </c>
      <c r="K9">
        <v>24019.466585381699</v>
      </c>
      <c r="L9">
        <v>-7.9973719347691402E-2</v>
      </c>
      <c r="N9">
        <v>8666.0059999999994</v>
      </c>
      <c r="O9">
        <v>403610.48083479598</v>
      </c>
      <c r="P9">
        <v>181191.29252738599</v>
      </c>
      <c r="Q9">
        <v>584801.77436218294</v>
      </c>
      <c r="S9">
        <v>8666.0059999999994</v>
      </c>
      <c r="T9">
        <v>113196.39337856699</v>
      </c>
      <c r="V9">
        <v>8666.0059999999994</v>
      </c>
      <c r="W9">
        <v>21693.918148908801</v>
      </c>
    </row>
    <row r="10" spans="7:23" x14ac:dyDescent="0.25">
      <c r="G10">
        <v>8667.0059999999994</v>
      </c>
      <c r="H10">
        <v>425182.30140983401</v>
      </c>
      <c r="I10">
        <v>23997.554480166</v>
      </c>
      <c r="J10">
        <v>449179.85588999803</v>
      </c>
      <c r="K10">
        <v>24049.1865853817</v>
      </c>
      <c r="L10">
        <v>-7.9973719347691402E-2</v>
      </c>
      <c r="N10">
        <v>8667.0059999999994</v>
      </c>
      <c r="O10">
        <v>403624.42683479597</v>
      </c>
      <c r="P10">
        <v>181212.198527386</v>
      </c>
      <c r="Q10">
        <v>584836.62536218297</v>
      </c>
      <c r="S10">
        <v>8667.0059999999994</v>
      </c>
      <c r="T10">
        <v>113196.39337856699</v>
      </c>
      <c r="V10">
        <v>8667.0059999999994</v>
      </c>
      <c r="W10">
        <v>21697.002148908799</v>
      </c>
    </row>
    <row r="11" spans="7:23" x14ac:dyDescent="0.25">
      <c r="G11">
        <v>8668.0059999999994</v>
      </c>
      <c r="H11">
        <v>425182.30140983401</v>
      </c>
      <c r="I11">
        <v>24026.434480166001</v>
      </c>
      <c r="J11">
        <v>449208.73588999797</v>
      </c>
      <c r="K11">
        <v>24078.1165853817</v>
      </c>
      <c r="L11">
        <v>-7.9973719347691402E-2</v>
      </c>
      <c r="N11">
        <v>8668.0059999999994</v>
      </c>
      <c r="O11">
        <v>403631.89383479598</v>
      </c>
      <c r="P11">
        <v>181233.10452738599</v>
      </c>
      <c r="Q11">
        <v>584864.99836218299</v>
      </c>
      <c r="S11">
        <v>8668.0059999999994</v>
      </c>
      <c r="T11">
        <v>113196.39337856699</v>
      </c>
      <c r="V11">
        <v>8668.0059999999994</v>
      </c>
      <c r="W11">
        <v>21700.020148908799</v>
      </c>
    </row>
    <row r="12" spans="7:23" x14ac:dyDescent="0.25">
      <c r="G12">
        <v>8669.0059999999994</v>
      </c>
      <c r="H12">
        <v>425182.30140983401</v>
      </c>
      <c r="I12">
        <v>24055.554480166</v>
      </c>
      <c r="J12">
        <v>449237.85588999803</v>
      </c>
      <c r="K12">
        <v>24107.236585381699</v>
      </c>
      <c r="L12">
        <v>-7.9973719347691402E-2</v>
      </c>
      <c r="N12">
        <v>8669.0059999999994</v>
      </c>
      <c r="O12">
        <v>403632.13283479598</v>
      </c>
      <c r="P12">
        <v>181254.01052738601</v>
      </c>
      <c r="Q12">
        <v>584886.14336218301</v>
      </c>
      <c r="S12">
        <v>8669.0059999999994</v>
      </c>
      <c r="T12">
        <v>113196.39337856699</v>
      </c>
      <c r="V12">
        <v>8669.0059999999994</v>
      </c>
      <c r="W12">
        <v>21703.001148908799</v>
      </c>
    </row>
    <row r="13" spans="7:23" x14ac:dyDescent="0.25">
      <c r="G13">
        <v>8670.0059999999994</v>
      </c>
      <c r="H13">
        <v>425182.30140983401</v>
      </c>
      <c r="I13">
        <v>24089.814480165998</v>
      </c>
      <c r="J13">
        <v>449272.11588999798</v>
      </c>
      <c r="K13">
        <v>24141.496585381701</v>
      </c>
      <c r="L13">
        <v>-7.9973719347691402E-2</v>
      </c>
      <c r="N13">
        <v>8670.0059999999994</v>
      </c>
      <c r="O13">
        <v>403632.23483479599</v>
      </c>
      <c r="P13">
        <v>181274.916527386</v>
      </c>
      <c r="Q13">
        <v>584907.15136218304</v>
      </c>
      <c r="S13">
        <v>8670.0059999999994</v>
      </c>
      <c r="T13">
        <v>113196.39337856699</v>
      </c>
      <c r="V13">
        <v>8670.0059999999994</v>
      </c>
      <c r="W13">
        <v>21706.657148908798</v>
      </c>
    </row>
    <row r="14" spans="7:23" x14ac:dyDescent="0.25">
      <c r="G14">
        <v>8671.0059999999994</v>
      </c>
      <c r="H14">
        <v>425182.30140983401</v>
      </c>
      <c r="I14">
        <v>24131.314480165998</v>
      </c>
      <c r="J14">
        <v>449313.61588999798</v>
      </c>
      <c r="K14">
        <v>24182.996585381701</v>
      </c>
      <c r="L14">
        <v>-7.9973719347691402E-2</v>
      </c>
      <c r="N14">
        <v>8671.0059999999994</v>
      </c>
      <c r="O14">
        <v>403632.57583479601</v>
      </c>
      <c r="P14">
        <v>181295.82252738599</v>
      </c>
      <c r="Q14">
        <v>584928.39836218301</v>
      </c>
      <c r="S14">
        <v>8671.0059999999994</v>
      </c>
      <c r="T14">
        <v>113196.39337856699</v>
      </c>
      <c r="V14">
        <v>8671.0059999999994</v>
      </c>
      <c r="W14">
        <v>21711.228148908802</v>
      </c>
    </row>
    <row r="15" spans="7:23" x14ac:dyDescent="0.25">
      <c r="G15">
        <v>8672.0059999999994</v>
      </c>
      <c r="H15">
        <v>425182.30140983401</v>
      </c>
      <c r="I15">
        <v>24186.154480165998</v>
      </c>
      <c r="J15">
        <v>449368.455889998</v>
      </c>
      <c r="K15">
        <v>24237.836585381701</v>
      </c>
      <c r="L15">
        <v>-7.9973719347691402E-2</v>
      </c>
      <c r="N15">
        <v>8672.0059999999994</v>
      </c>
      <c r="O15">
        <v>403672.66783479601</v>
      </c>
      <c r="P15">
        <v>181316.728527386</v>
      </c>
      <c r="Q15">
        <v>584989.39636218303</v>
      </c>
      <c r="S15">
        <v>8672.0059999999994</v>
      </c>
      <c r="T15">
        <v>113196.39337856699</v>
      </c>
      <c r="V15">
        <v>8672.0059999999994</v>
      </c>
      <c r="W15">
        <v>21719.695148908799</v>
      </c>
    </row>
    <row r="16" spans="7:23" x14ac:dyDescent="0.25">
      <c r="G16">
        <v>8673.0059999999994</v>
      </c>
      <c r="H16">
        <v>425183.05140983401</v>
      </c>
      <c r="I16">
        <v>24253.754480166001</v>
      </c>
      <c r="J16">
        <v>449436.80588999798</v>
      </c>
      <c r="K16">
        <v>24305.4365853817</v>
      </c>
      <c r="L16">
        <v>-7.9973719347691402E-2</v>
      </c>
      <c r="N16">
        <v>8673.0059999999994</v>
      </c>
      <c r="O16">
        <v>403723.24883479602</v>
      </c>
      <c r="P16">
        <v>181337.633527386</v>
      </c>
      <c r="Q16">
        <v>585060.883362183</v>
      </c>
      <c r="S16">
        <v>8673.0059999999994</v>
      </c>
      <c r="T16">
        <v>113196.39337856699</v>
      </c>
      <c r="V16">
        <v>8673.0059999999994</v>
      </c>
      <c r="W16">
        <v>21730.8461489088</v>
      </c>
    </row>
    <row r="17" spans="7:23" x14ac:dyDescent="0.25">
      <c r="G17">
        <v>8674.0059999999994</v>
      </c>
      <c r="H17">
        <v>425191.253409834</v>
      </c>
      <c r="I17">
        <v>24324.022480166001</v>
      </c>
      <c r="J17">
        <v>449515.27588999801</v>
      </c>
      <c r="K17">
        <v>24375.7045853817</v>
      </c>
      <c r="L17">
        <v>-7.9973719347037703E-2</v>
      </c>
      <c r="N17">
        <v>8674.0059999999994</v>
      </c>
      <c r="O17">
        <v>403774.83083479601</v>
      </c>
      <c r="P17">
        <v>181358.53952738599</v>
      </c>
      <c r="Q17">
        <v>585133.37036218296</v>
      </c>
      <c r="S17">
        <v>8674.0059999999994</v>
      </c>
      <c r="T17">
        <v>113196.402378567</v>
      </c>
      <c r="V17">
        <v>8674.0059999999994</v>
      </c>
      <c r="W17">
        <v>21743.212148908799</v>
      </c>
    </row>
    <row r="18" spans="7:23" x14ac:dyDescent="0.25">
      <c r="G18">
        <v>8675.0059999999994</v>
      </c>
      <c r="H18">
        <v>425210.43340983399</v>
      </c>
      <c r="I18">
        <v>24383.672480165998</v>
      </c>
      <c r="J18">
        <v>449594.10588999803</v>
      </c>
      <c r="K18">
        <v>24435.354585381701</v>
      </c>
      <c r="L18">
        <v>-7.9973719347009295E-2</v>
      </c>
      <c r="N18">
        <v>8675.0059999999994</v>
      </c>
      <c r="O18">
        <v>403822.84483479598</v>
      </c>
      <c r="P18">
        <v>181379.44552738601</v>
      </c>
      <c r="Q18">
        <v>585202.290362183</v>
      </c>
      <c r="S18">
        <v>8675.0059999999994</v>
      </c>
      <c r="T18">
        <v>113196.526378567</v>
      </c>
      <c r="V18">
        <v>8675.0059999999994</v>
      </c>
      <c r="W18">
        <v>21754.443148908798</v>
      </c>
    </row>
    <row r="19" spans="7:23" x14ac:dyDescent="0.25">
      <c r="G19">
        <v>8676.0059999999994</v>
      </c>
      <c r="H19">
        <v>425233.64840983402</v>
      </c>
      <c r="I19">
        <v>24433.357480166</v>
      </c>
      <c r="J19">
        <v>449667.00588999799</v>
      </c>
      <c r="K19">
        <v>24485.039585381699</v>
      </c>
      <c r="L19">
        <v>-7.9973719347179797E-2</v>
      </c>
      <c r="N19">
        <v>8676.0059999999994</v>
      </c>
      <c r="O19">
        <v>403861.46683479601</v>
      </c>
      <c r="P19">
        <v>181400.351527386</v>
      </c>
      <c r="Q19">
        <v>585261.81836218305</v>
      </c>
      <c r="S19">
        <v>8676.0059999999994</v>
      </c>
      <c r="T19">
        <v>113196.757378567</v>
      </c>
      <c r="V19">
        <v>8676.0059999999994</v>
      </c>
      <c r="W19">
        <v>21764.689148908801</v>
      </c>
    </row>
    <row r="20" spans="7:23" x14ac:dyDescent="0.25">
      <c r="G20">
        <v>8677.0059999999994</v>
      </c>
      <c r="H20">
        <v>425257.02140983398</v>
      </c>
      <c r="I20">
        <v>24484.434480166001</v>
      </c>
      <c r="J20">
        <v>449741.455889998</v>
      </c>
      <c r="K20">
        <v>24536.1165853817</v>
      </c>
      <c r="L20">
        <v>-7.9973719347208205E-2</v>
      </c>
      <c r="N20">
        <v>8677.0059999999994</v>
      </c>
      <c r="O20">
        <v>403900.255834796</v>
      </c>
      <c r="P20">
        <v>181421.25752738601</v>
      </c>
      <c r="Q20">
        <v>585321.513362183</v>
      </c>
      <c r="S20">
        <v>8677.0059999999994</v>
      </c>
      <c r="T20">
        <v>113196.936378567</v>
      </c>
      <c r="V20">
        <v>8677.0059999999994</v>
      </c>
      <c r="W20">
        <v>21774.745148908802</v>
      </c>
    </row>
    <row r="21" spans="7:23" x14ac:dyDescent="0.25">
      <c r="G21">
        <v>8678.0059999999994</v>
      </c>
      <c r="H21">
        <v>425272.99640983401</v>
      </c>
      <c r="I21">
        <v>24538.309480166001</v>
      </c>
      <c r="J21">
        <v>449811.30588999798</v>
      </c>
      <c r="K21">
        <v>24589.9915853817</v>
      </c>
      <c r="L21">
        <v>-7.9973719347208205E-2</v>
      </c>
      <c r="N21">
        <v>8678.0059999999994</v>
      </c>
      <c r="O21">
        <v>403945.309834796</v>
      </c>
      <c r="P21">
        <v>181442.163527386</v>
      </c>
      <c r="Q21">
        <v>585387.47336218297</v>
      </c>
      <c r="S21">
        <v>8678.0059999999994</v>
      </c>
      <c r="T21">
        <v>113196.988378567</v>
      </c>
      <c r="V21">
        <v>8678.0059999999994</v>
      </c>
      <c r="W21">
        <v>21784.8441489088</v>
      </c>
    </row>
    <row r="22" spans="7:23" x14ac:dyDescent="0.25">
      <c r="G22">
        <v>8679.0059999999994</v>
      </c>
      <c r="H22">
        <v>425276.61640983401</v>
      </c>
      <c r="I22">
        <v>24612.249480166</v>
      </c>
      <c r="J22">
        <v>449888.86588999798</v>
      </c>
      <c r="K22">
        <v>24663.931585381699</v>
      </c>
      <c r="L22">
        <v>-7.9973719347208205E-2</v>
      </c>
      <c r="N22">
        <v>8679.0059999999994</v>
      </c>
      <c r="O22">
        <v>404013.320834796</v>
      </c>
      <c r="P22">
        <v>181463.06952738599</v>
      </c>
      <c r="Q22">
        <v>585476.39036218298</v>
      </c>
      <c r="S22">
        <v>8679.0059999999994</v>
      </c>
      <c r="T22">
        <v>113196.988378567</v>
      </c>
      <c r="V22">
        <v>8679.0059999999994</v>
      </c>
      <c r="W22">
        <v>21797.087148908799</v>
      </c>
    </row>
    <row r="23" spans="7:23" x14ac:dyDescent="0.25">
      <c r="G23">
        <v>8680.0059999999994</v>
      </c>
      <c r="H23">
        <v>425276.63640983403</v>
      </c>
      <c r="I23">
        <v>24699.579480166001</v>
      </c>
      <c r="J23">
        <v>449976.21588999801</v>
      </c>
      <c r="K23">
        <v>24751.261585381701</v>
      </c>
      <c r="L23">
        <v>-7.9973719347208205E-2</v>
      </c>
      <c r="N23">
        <v>8680.0059999999994</v>
      </c>
      <c r="O23">
        <v>404112.34683479602</v>
      </c>
      <c r="P23">
        <v>181483.97552738601</v>
      </c>
      <c r="Q23">
        <v>585596.32136218296</v>
      </c>
      <c r="S23">
        <v>8680.0059999999994</v>
      </c>
      <c r="T23">
        <v>113196.988378567</v>
      </c>
      <c r="V23">
        <v>8680.0059999999994</v>
      </c>
      <c r="W23">
        <v>21811.338148908799</v>
      </c>
    </row>
    <row r="24" spans="7:23" x14ac:dyDescent="0.25">
      <c r="G24">
        <v>8681.0059999999994</v>
      </c>
      <c r="H24">
        <v>425276.63640983403</v>
      </c>
      <c r="I24">
        <v>24809.639480165999</v>
      </c>
      <c r="J24">
        <v>450086.27588999801</v>
      </c>
      <c r="K24">
        <v>24861.321585381698</v>
      </c>
      <c r="L24">
        <v>-7.9973719347208205E-2</v>
      </c>
      <c r="N24">
        <v>8681.0059999999994</v>
      </c>
      <c r="O24">
        <v>404239.77283479599</v>
      </c>
      <c r="P24">
        <v>181504.88152738599</v>
      </c>
      <c r="Q24">
        <v>585744.65436218295</v>
      </c>
      <c r="S24">
        <v>8681.0059999999994</v>
      </c>
      <c r="T24">
        <v>113196.988378567</v>
      </c>
      <c r="V24">
        <v>8681.0059999999994</v>
      </c>
      <c r="W24">
        <v>21831.121148908798</v>
      </c>
    </row>
    <row r="25" spans="7:23" x14ac:dyDescent="0.25">
      <c r="G25">
        <v>8682.0059999999994</v>
      </c>
      <c r="H25">
        <v>425276.63640983403</v>
      </c>
      <c r="I25">
        <v>24924.479480165999</v>
      </c>
      <c r="J25">
        <v>450201.11588999798</v>
      </c>
      <c r="K25">
        <v>24976.161585381698</v>
      </c>
      <c r="L25">
        <v>-7.9973719347208205E-2</v>
      </c>
      <c r="N25">
        <v>8682.0059999999994</v>
      </c>
      <c r="O25">
        <v>404376.16083479603</v>
      </c>
      <c r="P25">
        <v>181525.78652738599</v>
      </c>
      <c r="Q25">
        <v>585901.94736218301</v>
      </c>
      <c r="S25">
        <v>8682.0059999999994</v>
      </c>
      <c r="T25">
        <v>113196.988378567</v>
      </c>
      <c r="V25">
        <v>8682.0059999999994</v>
      </c>
      <c r="W25">
        <v>21849.4161489088</v>
      </c>
    </row>
    <row r="26" spans="7:23" x14ac:dyDescent="0.25">
      <c r="G26">
        <v>8683.0059999999994</v>
      </c>
      <c r="H26">
        <v>425276.63640983403</v>
      </c>
      <c r="I26">
        <v>25024.289480166</v>
      </c>
      <c r="J26">
        <v>450300.92588999798</v>
      </c>
      <c r="K26">
        <v>25075.9715853817</v>
      </c>
      <c r="L26">
        <v>-7.9973719347208205E-2</v>
      </c>
      <c r="N26">
        <v>8683.0059999999994</v>
      </c>
      <c r="O26">
        <v>404493.50683479599</v>
      </c>
      <c r="P26">
        <v>181546.69252738601</v>
      </c>
      <c r="Q26">
        <v>586040.20036218304</v>
      </c>
      <c r="S26">
        <v>8683.0059999999994</v>
      </c>
      <c r="T26">
        <v>113196.988378567</v>
      </c>
      <c r="V26">
        <v>8683.0059999999994</v>
      </c>
      <c r="W26">
        <v>21864.940148908801</v>
      </c>
    </row>
    <row r="27" spans="7:23" x14ac:dyDescent="0.25">
      <c r="G27">
        <v>8684.0059999999994</v>
      </c>
      <c r="H27">
        <v>425276.63640983403</v>
      </c>
      <c r="I27">
        <v>25109.809480166001</v>
      </c>
      <c r="J27">
        <v>450386.44588999799</v>
      </c>
      <c r="K27">
        <v>25161.4915853817</v>
      </c>
      <c r="L27">
        <v>-7.9973719347208205E-2</v>
      </c>
      <c r="N27">
        <v>8684.0059999999994</v>
      </c>
      <c r="O27">
        <v>404591.05383479601</v>
      </c>
      <c r="P27">
        <v>181567.598527386</v>
      </c>
      <c r="Q27">
        <v>586158.65236218297</v>
      </c>
      <c r="S27">
        <v>8684.0059999999994</v>
      </c>
      <c r="T27">
        <v>113196.988378567</v>
      </c>
      <c r="V27">
        <v>8684.0059999999994</v>
      </c>
      <c r="W27">
        <v>21880.3091489088</v>
      </c>
    </row>
    <row r="28" spans="7:23" x14ac:dyDescent="0.25">
      <c r="G28">
        <v>8685.0059999999994</v>
      </c>
      <c r="H28">
        <v>425276.63640983403</v>
      </c>
      <c r="I28">
        <v>25185.399480166001</v>
      </c>
      <c r="J28">
        <v>450462.03588999802</v>
      </c>
      <c r="K28">
        <v>25237.0815853817</v>
      </c>
      <c r="L28">
        <v>-7.9973719347208205E-2</v>
      </c>
      <c r="N28">
        <v>8685.0059999999994</v>
      </c>
      <c r="O28">
        <v>404672.706834796</v>
      </c>
      <c r="P28">
        <v>181588.50452738599</v>
      </c>
      <c r="Q28">
        <v>586261.21136218298</v>
      </c>
      <c r="S28">
        <v>8685.0059999999994</v>
      </c>
      <c r="T28">
        <v>113196.988378567</v>
      </c>
      <c r="V28">
        <v>8685.0059999999994</v>
      </c>
      <c r="W28">
        <v>21893.976148908801</v>
      </c>
    </row>
    <row r="29" spans="7:23" x14ac:dyDescent="0.25">
      <c r="G29">
        <v>8686.0059999999994</v>
      </c>
      <c r="H29">
        <v>425276.63640983403</v>
      </c>
      <c r="I29">
        <v>25249.429480166</v>
      </c>
      <c r="J29">
        <v>450526.06588999799</v>
      </c>
      <c r="K29">
        <v>25301.111585381699</v>
      </c>
      <c r="L29">
        <v>-7.9973719347208205E-2</v>
      </c>
      <c r="N29">
        <v>8686.0059999999994</v>
      </c>
      <c r="O29">
        <v>404739.57983479602</v>
      </c>
      <c r="P29">
        <v>181609.410527386</v>
      </c>
      <c r="Q29">
        <v>586348.99036218296</v>
      </c>
      <c r="S29">
        <v>8686.0059999999994</v>
      </c>
      <c r="T29">
        <v>113196.988378567</v>
      </c>
      <c r="V29">
        <v>8686.0059999999994</v>
      </c>
      <c r="W29">
        <v>21905.515148908798</v>
      </c>
    </row>
    <row r="30" spans="7:23" x14ac:dyDescent="0.25">
      <c r="G30">
        <v>8687.0059999999994</v>
      </c>
      <c r="H30">
        <v>425276.63640983403</v>
      </c>
      <c r="I30">
        <v>25300.609480166</v>
      </c>
      <c r="J30">
        <v>450577.24588999798</v>
      </c>
      <c r="K30">
        <v>25352.481585381702</v>
      </c>
      <c r="L30">
        <v>-7.9973719347208205E-2</v>
      </c>
      <c r="N30">
        <v>8687.0059999999994</v>
      </c>
      <c r="O30">
        <v>404792.50283479597</v>
      </c>
      <c r="P30">
        <v>181630.31652738599</v>
      </c>
      <c r="Q30">
        <v>586422.81936218299</v>
      </c>
      <c r="S30">
        <v>8687.0059999999994</v>
      </c>
      <c r="T30">
        <v>113196.988378567</v>
      </c>
      <c r="V30">
        <v>8687.0059999999994</v>
      </c>
      <c r="W30">
        <v>21917.732148908799</v>
      </c>
    </row>
    <row r="31" spans="7:23" x14ac:dyDescent="0.25">
      <c r="G31">
        <v>8688.0059999999994</v>
      </c>
      <c r="H31">
        <v>425276.63640983403</v>
      </c>
      <c r="I31">
        <v>25342.749480166</v>
      </c>
      <c r="J31">
        <v>450619.385889998</v>
      </c>
      <c r="K31">
        <v>25394.621585381701</v>
      </c>
      <c r="L31">
        <v>-7.9973719347208205E-2</v>
      </c>
      <c r="N31">
        <v>8688.0059999999994</v>
      </c>
      <c r="O31">
        <v>404840.97783479601</v>
      </c>
      <c r="P31">
        <v>181651.22252738601</v>
      </c>
      <c r="Q31">
        <v>586492.20036218304</v>
      </c>
      <c r="S31">
        <v>8688.0059999999994</v>
      </c>
      <c r="T31">
        <v>113196.988378567</v>
      </c>
      <c r="V31">
        <v>8688.0059999999994</v>
      </c>
      <c r="W31">
        <v>21930.909148908799</v>
      </c>
    </row>
    <row r="32" spans="7:23" x14ac:dyDescent="0.25">
      <c r="G32">
        <v>8689.0059999999994</v>
      </c>
      <c r="H32">
        <v>425276.63640983403</v>
      </c>
      <c r="I32">
        <v>25379.519480166</v>
      </c>
      <c r="J32">
        <v>450656.15588999802</v>
      </c>
      <c r="K32">
        <v>25431.391585381702</v>
      </c>
      <c r="L32">
        <v>-7.9973719347208205E-2</v>
      </c>
      <c r="N32">
        <v>8689.0059999999994</v>
      </c>
      <c r="O32">
        <v>404883.24783479603</v>
      </c>
      <c r="P32">
        <v>181672.128527386</v>
      </c>
      <c r="Q32">
        <v>586555.37636218301</v>
      </c>
      <c r="S32">
        <v>8689.0059999999994</v>
      </c>
      <c r="T32">
        <v>113196.988378567</v>
      </c>
      <c r="V32">
        <v>8689.0059999999994</v>
      </c>
      <c r="W32">
        <v>21942.857148908799</v>
      </c>
    </row>
    <row r="33" spans="7:23" x14ac:dyDescent="0.25">
      <c r="G33">
        <v>8690.0059999999994</v>
      </c>
      <c r="H33">
        <v>425276.63640983403</v>
      </c>
      <c r="I33">
        <v>25412.669480166001</v>
      </c>
      <c r="J33">
        <v>450689.30588999798</v>
      </c>
      <c r="K33">
        <v>25464.541585381699</v>
      </c>
      <c r="L33">
        <v>-7.9973719347208205E-2</v>
      </c>
      <c r="N33">
        <v>8690.0059999999994</v>
      </c>
      <c r="O33">
        <v>404921.554834796</v>
      </c>
      <c r="P33">
        <v>181693.03452738599</v>
      </c>
      <c r="Q33">
        <v>586614.58836218296</v>
      </c>
      <c r="S33">
        <v>8690.0059999999994</v>
      </c>
      <c r="T33">
        <v>113196.988378567</v>
      </c>
      <c r="V33">
        <v>8690.0059999999994</v>
      </c>
      <c r="W33">
        <v>21953.839148908799</v>
      </c>
    </row>
    <row r="34" spans="7:23" x14ac:dyDescent="0.25">
      <c r="G34">
        <v>8691.0059999999994</v>
      </c>
      <c r="H34">
        <v>425276.63640983403</v>
      </c>
      <c r="I34">
        <v>25444.469480166001</v>
      </c>
      <c r="J34">
        <v>450721.10588999803</v>
      </c>
      <c r="K34">
        <v>25496.341585381699</v>
      </c>
      <c r="L34">
        <v>-7.9973719347208205E-2</v>
      </c>
      <c r="N34">
        <v>8691.0059999999994</v>
      </c>
      <c r="O34">
        <v>404958.63283479598</v>
      </c>
      <c r="P34">
        <v>181713.93952738601</v>
      </c>
      <c r="Q34">
        <v>586672.57336218294</v>
      </c>
      <c r="S34">
        <v>8691.0059999999994</v>
      </c>
      <c r="T34">
        <v>113196.988378567</v>
      </c>
      <c r="V34">
        <v>8691.0059999999994</v>
      </c>
      <c r="W34">
        <v>21965.990148908801</v>
      </c>
    </row>
    <row r="35" spans="7:23" x14ac:dyDescent="0.25">
      <c r="G35">
        <v>8692.0059999999994</v>
      </c>
      <c r="H35">
        <v>425276.63640983403</v>
      </c>
      <c r="I35">
        <v>25474.409480165999</v>
      </c>
      <c r="J35">
        <v>450751.04588999797</v>
      </c>
      <c r="K35">
        <v>25526.281585381701</v>
      </c>
      <c r="L35">
        <v>-7.9973719347208205E-2</v>
      </c>
      <c r="N35">
        <v>8692.0059999999994</v>
      </c>
      <c r="O35">
        <v>404995.64283479599</v>
      </c>
      <c r="P35">
        <v>181734.845527386</v>
      </c>
      <c r="Q35">
        <v>586730.48836218298</v>
      </c>
      <c r="S35">
        <v>8692.0059999999994</v>
      </c>
      <c r="T35">
        <v>113196.988378567</v>
      </c>
      <c r="V35">
        <v>8692.0059999999994</v>
      </c>
      <c r="W35">
        <v>21979.016148908799</v>
      </c>
    </row>
    <row r="36" spans="7:23" x14ac:dyDescent="0.25">
      <c r="G36">
        <v>8693.0059999999994</v>
      </c>
      <c r="H36">
        <v>425276.63640983403</v>
      </c>
      <c r="I36">
        <v>25506.269480166</v>
      </c>
      <c r="J36">
        <v>450782.90588999802</v>
      </c>
      <c r="K36">
        <v>25558.141585381702</v>
      </c>
      <c r="L36">
        <v>-7.9973719347208205E-2</v>
      </c>
      <c r="N36">
        <v>8693.0059999999994</v>
      </c>
      <c r="O36">
        <v>405037.71183479601</v>
      </c>
      <c r="P36">
        <v>181755.75152738599</v>
      </c>
      <c r="Q36">
        <v>586793.46336218296</v>
      </c>
      <c r="S36">
        <v>8693.0059999999994</v>
      </c>
      <c r="T36">
        <v>113196.988378567</v>
      </c>
      <c r="V36">
        <v>8693.0059999999994</v>
      </c>
      <c r="W36">
        <v>21993.520148908799</v>
      </c>
    </row>
    <row r="37" spans="7:23" x14ac:dyDescent="0.25">
      <c r="G37">
        <v>8694.0059999999994</v>
      </c>
      <c r="H37">
        <v>425276.63640983403</v>
      </c>
      <c r="I37">
        <v>25548.149480166001</v>
      </c>
      <c r="J37">
        <v>450824.78588999802</v>
      </c>
      <c r="K37">
        <v>25600.021585381699</v>
      </c>
      <c r="L37">
        <v>-7.9973719347208205E-2</v>
      </c>
      <c r="N37">
        <v>8694.0059999999994</v>
      </c>
      <c r="O37">
        <v>405094.853834796</v>
      </c>
      <c r="P37">
        <v>181776.65752738601</v>
      </c>
      <c r="Q37">
        <v>586871.51136218302</v>
      </c>
      <c r="S37">
        <v>8694.0059999999994</v>
      </c>
      <c r="T37">
        <v>113196.988378567</v>
      </c>
      <c r="V37">
        <v>8694.0059999999994</v>
      </c>
      <c r="W37">
        <v>22015.0061489088</v>
      </c>
    </row>
    <row r="38" spans="7:23" x14ac:dyDescent="0.25">
      <c r="G38">
        <v>8695.0059999999994</v>
      </c>
      <c r="H38">
        <v>425276.63640983403</v>
      </c>
      <c r="I38">
        <v>25596.789480166</v>
      </c>
      <c r="J38">
        <v>450873.42588999798</v>
      </c>
      <c r="K38">
        <v>25648.661585381698</v>
      </c>
      <c r="L38">
        <v>-7.9973719347208205E-2</v>
      </c>
      <c r="N38">
        <v>8695.0059999999994</v>
      </c>
      <c r="O38">
        <v>405167.02583479602</v>
      </c>
      <c r="P38">
        <v>181797.563527386</v>
      </c>
      <c r="Q38">
        <v>586964.589362183</v>
      </c>
      <c r="S38">
        <v>8695.0059999999994</v>
      </c>
      <c r="T38">
        <v>113196.988378567</v>
      </c>
      <c r="V38">
        <v>8695.0059999999994</v>
      </c>
      <c r="W38">
        <v>22044.0071489088</v>
      </c>
    </row>
    <row r="39" spans="7:23" x14ac:dyDescent="0.25">
      <c r="G39">
        <v>8696.0059999999994</v>
      </c>
      <c r="H39">
        <v>425276.85940983403</v>
      </c>
      <c r="I39">
        <v>25649.776480166001</v>
      </c>
      <c r="J39">
        <v>450926.635889998</v>
      </c>
      <c r="K39">
        <v>25701.648585381699</v>
      </c>
      <c r="L39">
        <v>-7.9973719347208205E-2</v>
      </c>
      <c r="N39">
        <v>8696.0059999999994</v>
      </c>
      <c r="O39">
        <v>405250.38983479602</v>
      </c>
      <c r="P39">
        <v>181818.46952738601</v>
      </c>
      <c r="Q39">
        <v>587068.85936218302</v>
      </c>
      <c r="S39">
        <v>8696.0059999999994</v>
      </c>
      <c r="T39">
        <v>113196.988378567</v>
      </c>
      <c r="V39">
        <v>8696.0059999999994</v>
      </c>
      <c r="W39">
        <v>22077.244148908801</v>
      </c>
    </row>
    <row r="40" spans="7:23" x14ac:dyDescent="0.25">
      <c r="G40">
        <v>8697.0059999999994</v>
      </c>
      <c r="H40">
        <v>425288.20040983398</v>
      </c>
      <c r="I40">
        <v>25701.935480166001</v>
      </c>
      <c r="J40">
        <v>450990.135889998</v>
      </c>
      <c r="K40">
        <v>25753.807585381699</v>
      </c>
      <c r="L40">
        <v>-7.9973719347094505E-2</v>
      </c>
      <c r="N40">
        <v>8697.0059999999994</v>
      </c>
      <c r="O40">
        <v>405343.385834796</v>
      </c>
      <c r="P40">
        <v>181839.375527386</v>
      </c>
      <c r="Q40">
        <v>587182.76136218302</v>
      </c>
      <c r="S40">
        <v>8697.0059999999994</v>
      </c>
      <c r="T40">
        <v>113197.164378567</v>
      </c>
      <c r="V40">
        <v>8697.0059999999994</v>
      </c>
      <c r="W40">
        <v>22111.597148908801</v>
      </c>
    </row>
    <row r="41" spans="7:23" x14ac:dyDescent="0.25">
      <c r="G41">
        <v>8698.0059999999994</v>
      </c>
      <c r="H41">
        <v>425331.23440983403</v>
      </c>
      <c r="I41">
        <v>25727.471480166001</v>
      </c>
      <c r="J41">
        <v>451058.705889998</v>
      </c>
      <c r="K41">
        <v>25779.343585381699</v>
      </c>
      <c r="L41">
        <v>-7.9973719347549294E-2</v>
      </c>
      <c r="N41">
        <v>8698.0059999999994</v>
      </c>
      <c r="O41">
        <v>405389.505834796</v>
      </c>
      <c r="P41">
        <v>181860.28152738599</v>
      </c>
      <c r="Q41">
        <v>587249.78736218298</v>
      </c>
      <c r="S41">
        <v>8698.0059999999994</v>
      </c>
      <c r="T41">
        <v>113203.599378567</v>
      </c>
      <c r="V41">
        <v>8698.0059999999994</v>
      </c>
      <c r="W41">
        <v>22127.990148908801</v>
      </c>
    </row>
    <row r="42" spans="7:23" x14ac:dyDescent="0.25">
      <c r="G42">
        <v>8699.0059999999994</v>
      </c>
      <c r="H42">
        <v>425394.014409834</v>
      </c>
      <c r="I42">
        <v>25735.861480166001</v>
      </c>
      <c r="J42">
        <v>451129.87588999799</v>
      </c>
      <c r="K42">
        <v>25787.733585381699</v>
      </c>
      <c r="L42">
        <v>-7.9973719347265104E-2</v>
      </c>
      <c r="N42">
        <v>8699.0059999999994</v>
      </c>
      <c r="O42">
        <v>405402.80683479598</v>
      </c>
      <c r="P42">
        <v>181881.18652738599</v>
      </c>
      <c r="Q42">
        <v>587283.99336218298</v>
      </c>
      <c r="S42">
        <v>8699.0059999999994</v>
      </c>
      <c r="T42">
        <v>113219.130378567</v>
      </c>
      <c r="V42">
        <v>8699.0059999999994</v>
      </c>
      <c r="W42">
        <v>22133.2721489088</v>
      </c>
    </row>
    <row r="43" spans="7:23" x14ac:dyDescent="0.25">
      <c r="G43">
        <v>8700.0059999999994</v>
      </c>
      <c r="H43">
        <v>425453.86540983402</v>
      </c>
      <c r="I43">
        <v>25736.920480166002</v>
      </c>
      <c r="J43">
        <v>451190.78588999802</v>
      </c>
      <c r="K43">
        <v>25788.7925853817</v>
      </c>
      <c r="L43">
        <v>-7.9973719346895594E-2</v>
      </c>
      <c r="N43">
        <v>8700.0059999999994</v>
      </c>
      <c r="O43">
        <v>405404.42683479597</v>
      </c>
      <c r="P43">
        <v>181902.092527386</v>
      </c>
      <c r="Q43">
        <v>587306.51936218305</v>
      </c>
      <c r="S43">
        <v>8700.0059999999994</v>
      </c>
      <c r="T43">
        <v>113232.30937856701</v>
      </c>
      <c r="V43">
        <v>8700.0059999999994</v>
      </c>
      <c r="W43">
        <v>22133.906148908802</v>
      </c>
    </row>
    <row r="44" spans="7:23" x14ac:dyDescent="0.25">
      <c r="G44">
        <v>8701.0059999999994</v>
      </c>
      <c r="H44">
        <v>425495.82640983397</v>
      </c>
      <c r="I44">
        <v>25755.459480165999</v>
      </c>
      <c r="J44">
        <v>451251.28588999802</v>
      </c>
      <c r="K44">
        <v>25807.3315853817</v>
      </c>
      <c r="L44">
        <v>-7.9973719346924002E-2</v>
      </c>
      <c r="N44">
        <v>8701.0059999999994</v>
      </c>
      <c r="O44">
        <v>405431.68583479599</v>
      </c>
      <c r="P44">
        <v>181922.99852738599</v>
      </c>
      <c r="Q44">
        <v>587354.68536218302</v>
      </c>
      <c r="S44">
        <v>8701.0059999999994</v>
      </c>
      <c r="T44">
        <v>113237.682378567</v>
      </c>
      <c r="V44">
        <v>8701.0059999999994</v>
      </c>
      <c r="W44">
        <v>22143.957148908801</v>
      </c>
    </row>
    <row r="45" spans="7:23" x14ac:dyDescent="0.25">
      <c r="G45">
        <v>8702.0059999999994</v>
      </c>
      <c r="H45">
        <v>425514.03240983398</v>
      </c>
      <c r="I45">
        <v>25798.763480165999</v>
      </c>
      <c r="J45">
        <v>451312.79588999797</v>
      </c>
      <c r="K45">
        <v>25850.6355853817</v>
      </c>
      <c r="L45">
        <v>-7.9973719347037703E-2</v>
      </c>
      <c r="N45">
        <v>8702.0059999999994</v>
      </c>
      <c r="O45">
        <v>405492.96883479599</v>
      </c>
      <c r="P45">
        <v>181943.90452738601</v>
      </c>
      <c r="Q45">
        <v>587436.87336218299</v>
      </c>
      <c r="S45">
        <v>8702.0059999999994</v>
      </c>
      <c r="T45">
        <v>113237.966378567</v>
      </c>
      <c r="V45">
        <v>8702.0059999999994</v>
      </c>
      <c r="W45">
        <v>22164.456148908801</v>
      </c>
    </row>
    <row r="46" spans="7:23" x14ac:dyDescent="0.25">
      <c r="G46">
        <v>8703.0059999999994</v>
      </c>
      <c r="H46">
        <v>425515.69040983397</v>
      </c>
      <c r="I46">
        <v>25863.735480166</v>
      </c>
      <c r="J46">
        <v>451379.42588999798</v>
      </c>
      <c r="K46">
        <v>25915.607585381698</v>
      </c>
      <c r="L46">
        <v>-7.9973719347037703E-2</v>
      </c>
      <c r="N46">
        <v>8703.0059999999994</v>
      </c>
      <c r="O46">
        <v>405584.08983479597</v>
      </c>
      <c r="P46">
        <v>181964.810527386</v>
      </c>
      <c r="Q46">
        <v>587548.90036218299</v>
      </c>
      <c r="S46">
        <v>8703.0059999999994</v>
      </c>
      <c r="T46">
        <v>113237.966378567</v>
      </c>
      <c r="V46">
        <v>8703.0059999999994</v>
      </c>
      <c r="W46">
        <v>22190.299148908802</v>
      </c>
    </row>
    <row r="47" spans="7:23" x14ac:dyDescent="0.25">
      <c r="G47">
        <v>8704.0059999999994</v>
      </c>
      <c r="H47">
        <v>425515.69740983401</v>
      </c>
      <c r="I47">
        <v>25948.958480165998</v>
      </c>
      <c r="J47">
        <v>451464.65588999802</v>
      </c>
      <c r="K47">
        <v>26000.8305853817</v>
      </c>
      <c r="L47">
        <v>-7.9973719347037703E-2</v>
      </c>
      <c r="N47">
        <v>8704.0059999999994</v>
      </c>
      <c r="O47">
        <v>405706.34683479602</v>
      </c>
      <c r="P47">
        <v>181985.71652738599</v>
      </c>
      <c r="Q47">
        <v>587692.06336218305</v>
      </c>
      <c r="S47">
        <v>8704.0059999999994</v>
      </c>
      <c r="T47">
        <v>113237.966378567</v>
      </c>
      <c r="V47">
        <v>8704.0059999999994</v>
      </c>
      <c r="W47">
        <v>22219.6641489088</v>
      </c>
    </row>
    <row r="48" spans="7:23" x14ac:dyDescent="0.25">
      <c r="G48">
        <v>8705.0059999999994</v>
      </c>
      <c r="H48">
        <v>425515.69740983401</v>
      </c>
      <c r="I48">
        <v>26059.668480166001</v>
      </c>
      <c r="J48">
        <v>451575.36588999798</v>
      </c>
      <c r="K48">
        <v>26111.540585381699</v>
      </c>
      <c r="L48">
        <v>-7.9973719347037703E-2</v>
      </c>
      <c r="N48">
        <v>8705.0059999999994</v>
      </c>
      <c r="O48">
        <v>405860.70783479599</v>
      </c>
      <c r="P48">
        <v>182006.622527386</v>
      </c>
      <c r="Q48">
        <v>587867.32936218299</v>
      </c>
      <c r="S48">
        <v>8705.0059999999994</v>
      </c>
      <c r="T48">
        <v>113237.966378567</v>
      </c>
      <c r="V48">
        <v>8705.0059999999994</v>
      </c>
      <c r="W48">
        <v>22254.9501489088</v>
      </c>
    </row>
    <row r="49" spans="7:23" x14ac:dyDescent="0.25">
      <c r="G49">
        <v>8706.0059999999994</v>
      </c>
      <c r="H49">
        <v>425515.69740983401</v>
      </c>
      <c r="I49">
        <v>26177.508480166001</v>
      </c>
      <c r="J49">
        <v>451693.205889998</v>
      </c>
      <c r="K49">
        <v>26229.380585381699</v>
      </c>
      <c r="L49">
        <v>-7.9973719347037703E-2</v>
      </c>
      <c r="N49">
        <v>8706.0059999999994</v>
      </c>
      <c r="O49">
        <v>406019.47083479603</v>
      </c>
      <c r="P49">
        <v>182027.52852738599</v>
      </c>
      <c r="Q49">
        <v>588046.99836218299</v>
      </c>
      <c r="S49">
        <v>8706.0059999999994</v>
      </c>
      <c r="T49">
        <v>113237.966378567</v>
      </c>
      <c r="V49">
        <v>8706.0059999999994</v>
      </c>
      <c r="W49">
        <v>22285.957148908801</v>
      </c>
    </row>
    <row r="50" spans="7:23" x14ac:dyDescent="0.25">
      <c r="G50">
        <v>8707.0059999999994</v>
      </c>
      <c r="H50">
        <v>425515.69740983401</v>
      </c>
      <c r="I50">
        <v>26273.588480165999</v>
      </c>
      <c r="J50">
        <v>451789.28588999802</v>
      </c>
      <c r="K50">
        <v>26325.460585381701</v>
      </c>
      <c r="L50">
        <v>-7.9973719347037703E-2</v>
      </c>
      <c r="N50">
        <v>8707.0059999999994</v>
      </c>
      <c r="O50">
        <v>406137.304834796</v>
      </c>
      <c r="P50">
        <v>182048.43452738601</v>
      </c>
      <c r="Q50">
        <v>588185.73936218303</v>
      </c>
      <c r="S50">
        <v>8707.0059999999994</v>
      </c>
      <c r="T50">
        <v>113237.966378567</v>
      </c>
      <c r="V50">
        <v>8707.0059999999994</v>
      </c>
      <c r="W50">
        <v>22307.651148908801</v>
      </c>
    </row>
    <row r="51" spans="7:23" x14ac:dyDescent="0.25">
      <c r="G51">
        <v>8708.0059999999994</v>
      </c>
      <c r="H51">
        <v>425515.69740983401</v>
      </c>
      <c r="I51">
        <v>26362.838480165999</v>
      </c>
      <c r="J51">
        <v>451878.53588999802</v>
      </c>
      <c r="K51">
        <v>26414.710585381701</v>
      </c>
      <c r="L51">
        <v>-7.9973719347037703E-2</v>
      </c>
      <c r="N51">
        <v>8708.0059999999994</v>
      </c>
      <c r="O51">
        <v>406223.326834796</v>
      </c>
      <c r="P51">
        <v>182069.33952738601</v>
      </c>
      <c r="Q51">
        <v>588292.66736218298</v>
      </c>
      <c r="S51">
        <v>8708.0059999999994</v>
      </c>
      <c r="T51">
        <v>113237.966378567</v>
      </c>
      <c r="V51">
        <v>8708.0059999999994</v>
      </c>
      <c r="W51">
        <v>22324.6101489088</v>
      </c>
    </row>
    <row r="52" spans="7:23" x14ac:dyDescent="0.25">
      <c r="G52">
        <v>8709.0059999999994</v>
      </c>
      <c r="H52">
        <v>425515.69740983401</v>
      </c>
      <c r="I52">
        <v>26435.808480166001</v>
      </c>
      <c r="J52">
        <v>451951.50588999799</v>
      </c>
      <c r="K52">
        <v>26487.680585381699</v>
      </c>
      <c r="L52">
        <v>-7.9973719347037703E-2</v>
      </c>
      <c r="N52">
        <v>8709.0059999999994</v>
      </c>
      <c r="O52">
        <v>406292.35183479602</v>
      </c>
      <c r="P52">
        <v>182090.245527386</v>
      </c>
      <c r="Q52">
        <v>588382.59736218303</v>
      </c>
      <c r="S52">
        <v>8709.0059999999994</v>
      </c>
      <c r="T52">
        <v>113237.966378567</v>
      </c>
      <c r="V52">
        <v>8709.0059999999994</v>
      </c>
      <c r="W52">
        <v>22338.016148908799</v>
      </c>
    </row>
    <row r="53" spans="7:23" x14ac:dyDescent="0.25">
      <c r="G53">
        <v>8710.0059999999994</v>
      </c>
      <c r="H53">
        <v>425515.69740983401</v>
      </c>
      <c r="I53">
        <v>26502.668480166001</v>
      </c>
      <c r="J53">
        <v>452018.36588999798</v>
      </c>
      <c r="K53">
        <v>26554.540585381699</v>
      </c>
      <c r="L53">
        <v>-7.9973719347037703E-2</v>
      </c>
      <c r="N53">
        <v>8710.0059999999994</v>
      </c>
      <c r="O53">
        <v>406353.750834796</v>
      </c>
      <c r="P53">
        <v>182111.15152738601</v>
      </c>
      <c r="Q53">
        <v>588464.90236218297</v>
      </c>
      <c r="S53">
        <v>8710.0059999999994</v>
      </c>
      <c r="T53">
        <v>113237.966378567</v>
      </c>
      <c r="V53">
        <v>8710.0059999999994</v>
      </c>
      <c r="W53">
        <v>22349.2891489088</v>
      </c>
    </row>
    <row r="54" spans="7:23" x14ac:dyDescent="0.25">
      <c r="G54">
        <v>8711.0059999999994</v>
      </c>
      <c r="H54">
        <v>425515.69740983401</v>
      </c>
      <c r="I54">
        <v>26557.978480165999</v>
      </c>
      <c r="J54">
        <v>452073.67588999798</v>
      </c>
      <c r="K54">
        <v>26609.850585381701</v>
      </c>
      <c r="L54">
        <v>-7.9973719347037703E-2</v>
      </c>
      <c r="N54">
        <v>8711.0059999999994</v>
      </c>
      <c r="O54">
        <v>406402.48083479598</v>
      </c>
      <c r="P54">
        <v>182132.057527386</v>
      </c>
      <c r="Q54">
        <v>588534.53836218303</v>
      </c>
      <c r="S54">
        <v>8711.0059999999994</v>
      </c>
      <c r="T54">
        <v>113237.966378567</v>
      </c>
      <c r="V54">
        <v>8711.0059999999994</v>
      </c>
      <c r="W54">
        <v>22358.2201489088</v>
      </c>
    </row>
    <row r="55" spans="7:23" x14ac:dyDescent="0.25">
      <c r="G55">
        <v>8712.0059999999994</v>
      </c>
      <c r="H55">
        <v>425515.69740983401</v>
      </c>
      <c r="I55">
        <v>26601.058480166001</v>
      </c>
      <c r="J55">
        <v>452116.75588999799</v>
      </c>
      <c r="K55">
        <v>26652.930585381699</v>
      </c>
      <c r="L55">
        <v>-7.9973719347037703E-2</v>
      </c>
      <c r="N55">
        <v>8712.0059999999994</v>
      </c>
      <c r="O55">
        <v>406449.17683479597</v>
      </c>
      <c r="P55">
        <v>182152.96352738599</v>
      </c>
      <c r="Q55">
        <v>588602.14036218298</v>
      </c>
      <c r="S55">
        <v>8712.0059999999994</v>
      </c>
      <c r="T55">
        <v>113237.966378567</v>
      </c>
      <c r="V55">
        <v>8712.0059999999994</v>
      </c>
      <c r="W55">
        <v>22364.984148908799</v>
      </c>
    </row>
    <row r="56" spans="7:23" x14ac:dyDescent="0.25">
      <c r="G56">
        <v>8713.0059999999994</v>
      </c>
      <c r="H56">
        <v>425515.69740983401</v>
      </c>
      <c r="I56">
        <v>26636.228480165999</v>
      </c>
      <c r="J56">
        <v>452151.92588999798</v>
      </c>
      <c r="K56">
        <v>26688.100585381701</v>
      </c>
      <c r="L56">
        <v>-7.9973719347037703E-2</v>
      </c>
      <c r="N56">
        <v>8713.0059999999994</v>
      </c>
      <c r="O56">
        <v>406486.87883479602</v>
      </c>
      <c r="P56">
        <v>182173.86952738601</v>
      </c>
      <c r="Q56">
        <v>588660.74836218299</v>
      </c>
      <c r="S56">
        <v>8713.0059999999994</v>
      </c>
      <c r="T56">
        <v>113237.966378567</v>
      </c>
      <c r="V56">
        <v>8713.0059999999994</v>
      </c>
      <c r="W56">
        <v>22369.9531489088</v>
      </c>
    </row>
    <row r="57" spans="7:23" x14ac:dyDescent="0.25">
      <c r="G57">
        <v>8714.0059999999994</v>
      </c>
      <c r="H57">
        <v>425515.69740983401</v>
      </c>
      <c r="I57">
        <v>26670.098480166002</v>
      </c>
      <c r="J57">
        <v>452185.79588999797</v>
      </c>
      <c r="K57">
        <v>26721.970585381699</v>
      </c>
      <c r="L57">
        <v>-7.9973719347037703E-2</v>
      </c>
      <c r="N57">
        <v>8714.0059999999994</v>
      </c>
      <c r="O57">
        <v>406522.90983479598</v>
      </c>
      <c r="P57">
        <v>182194.77552738599</v>
      </c>
      <c r="Q57">
        <v>588717.68436218298</v>
      </c>
      <c r="S57">
        <v>8714.0059999999994</v>
      </c>
      <c r="T57">
        <v>113237.966378567</v>
      </c>
      <c r="V57">
        <v>8714.0059999999994</v>
      </c>
      <c r="W57">
        <v>22374.912148908799</v>
      </c>
    </row>
    <row r="58" spans="7:23" x14ac:dyDescent="0.25">
      <c r="G58">
        <v>8715.0059999999994</v>
      </c>
      <c r="H58">
        <v>425515.69740983401</v>
      </c>
      <c r="I58">
        <v>26701.728480165999</v>
      </c>
      <c r="J58">
        <v>452217.42588999798</v>
      </c>
      <c r="K58">
        <v>26753.600585381701</v>
      </c>
      <c r="L58">
        <v>-7.9973719347037703E-2</v>
      </c>
      <c r="N58">
        <v>8715.0059999999994</v>
      </c>
      <c r="O58">
        <v>406555.70783479599</v>
      </c>
      <c r="P58">
        <v>182215.68152738601</v>
      </c>
      <c r="Q58">
        <v>588771.38936218305</v>
      </c>
      <c r="S58">
        <v>8715.0059999999994</v>
      </c>
      <c r="T58">
        <v>113237.966378567</v>
      </c>
      <c r="V58">
        <v>8715.0059999999994</v>
      </c>
      <c r="W58">
        <v>22380.046148908801</v>
      </c>
    </row>
    <row r="59" spans="7:23" x14ac:dyDescent="0.25">
      <c r="G59">
        <v>8716.0059999999994</v>
      </c>
      <c r="H59">
        <v>425515.69740983401</v>
      </c>
      <c r="I59">
        <v>26732.778480165998</v>
      </c>
      <c r="J59">
        <v>452248.47588999802</v>
      </c>
      <c r="K59">
        <v>26784.6505853817</v>
      </c>
      <c r="L59">
        <v>-7.9973719347037703E-2</v>
      </c>
      <c r="N59">
        <v>8716.0059999999994</v>
      </c>
      <c r="O59">
        <v>406588.18283479603</v>
      </c>
      <c r="P59">
        <v>182236.58652738601</v>
      </c>
      <c r="Q59">
        <v>588824.77036218299</v>
      </c>
      <c r="S59">
        <v>8716.0059999999994</v>
      </c>
      <c r="T59">
        <v>113237.966378567</v>
      </c>
      <c r="V59">
        <v>8716.0059999999994</v>
      </c>
      <c r="W59">
        <v>22384.4491489088</v>
      </c>
    </row>
    <row r="60" spans="7:23" x14ac:dyDescent="0.25">
      <c r="G60">
        <v>8717.0059999999994</v>
      </c>
      <c r="H60">
        <v>425515.69740983401</v>
      </c>
      <c r="I60">
        <v>26766.288480166</v>
      </c>
      <c r="J60">
        <v>452281.98588999797</v>
      </c>
      <c r="K60">
        <v>26818.210585381701</v>
      </c>
      <c r="L60">
        <v>-7.9973719347037703E-2</v>
      </c>
      <c r="N60">
        <v>8717.0059999999994</v>
      </c>
      <c r="O60">
        <v>406624.00883479603</v>
      </c>
      <c r="P60">
        <v>182257.492527386</v>
      </c>
      <c r="Q60">
        <v>588881.50236218295</v>
      </c>
      <c r="S60">
        <v>8717.0059999999994</v>
      </c>
      <c r="T60">
        <v>113237.966378567</v>
      </c>
      <c r="V60">
        <v>8717.0059999999994</v>
      </c>
      <c r="W60">
        <v>22389.0051489088</v>
      </c>
    </row>
    <row r="61" spans="7:23" x14ac:dyDescent="0.25">
      <c r="G61">
        <v>8718.0059999999994</v>
      </c>
      <c r="H61">
        <v>425515.69740983401</v>
      </c>
      <c r="I61">
        <v>26807.308480166001</v>
      </c>
      <c r="J61">
        <v>452323.00588999799</v>
      </c>
      <c r="K61">
        <v>26859.230585381702</v>
      </c>
      <c r="L61">
        <v>-7.9973719347037703E-2</v>
      </c>
      <c r="N61">
        <v>8718.0059999999994</v>
      </c>
      <c r="O61">
        <v>406668.25783479598</v>
      </c>
      <c r="P61">
        <v>182278.39852738599</v>
      </c>
      <c r="Q61">
        <v>588946.65636218304</v>
      </c>
      <c r="S61">
        <v>8718.0059999999994</v>
      </c>
      <c r="T61">
        <v>113237.966378567</v>
      </c>
      <c r="V61">
        <v>8718.0059999999994</v>
      </c>
      <c r="W61">
        <v>22395.151148908801</v>
      </c>
    </row>
    <row r="62" spans="7:23" x14ac:dyDescent="0.25">
      <c r="G62">
        <v>8719.0059999999994</v>
      </c>
      <c r="H62">
        <v>425515.69740983401</v>
      </c>
      <c r="I62">
        <v>26854.648480166001</v>
      </c>
      <c r="J62">
        <v>452370.34588999802</v>
      </c>
      <c r="K62">
        <v>26906.6505853817</v>
      </c>
      <c r="L62">
        <v>-7.9973719347037703E-2</v>
      </c>
      <c r="N62">
        <v>8719.0059999999994</v>
      </c>
      <c r="O62">
        <v>406719.33983479597</v>
      </c>
      <c r="P62">
        <v>182299.304527386</v>
      </c>
      <c r="Q62">
        <v>589018.64436218305</v>
      </c>
      <c r="S62">
        <v>8719.0059999999994</v>
      </c>
      <c r="T62">
        <v>113237.966378567</v>
      </c>
      <c r="V62">
        <v>8719.0059999999994</v>
      </c>
      <c r="W62">
        <v>22403.858148908799</v>
      </c>
    </row>
    <row r="63" spans="7:23" x14ac:dyDescent="0.25">
      <c r="G63">
        <v>8720.0059999999994</v>
      </c>
      <c r="H63">
        <v>425515.71740983397</v>
      </c>
      <c r="I63">
        <v>26915.738480166001</v>
      </c>
      <c r="J63">
        <v>452431.455889998</v>
      </c>
      <c r="K63">
        <v>26967.7405853817</v>
      </c>
      <c r="L63">
        <v>-7.9973719347037703E-2</v>
      </c>
      <c r="N63">
        <v>8720.0059999999994</v>
      </c>
      <c r="O63">
        <v>406785.51283479598</v>
      </c>
      <c r="P63">
        <v>182320.21052738599</v>
      </c>
      <c r="Q63">
        <v>589105.72336218297</v>
      </c>
      <c r="S63">
        <v>8720.0059999999994</v>
      </c>
      <c r="T63">
        <v>113237.966378567</v>
      </c>
      <c r="V63">
        <v>8720.0059999999994</v>
      </c>
      <c r="W63">
        <v>22416.686148908801</v>
      </c>
    </row>
    <row r="64" spans="7:23" x14ac:dyDescent="0.25">
      <c r="G64">
        <v>8721.0059999999994</v>
      </c>
      <c r="H64">
        <v>425517.88240983401</v>
      </c>
      <c r="I64">
        <v>26980.473480166002</v>
      </c>
      <c r="J64">
        <v>452498.35588999803</v>
      </c>
      <c r="K64">
        <v>27032.475585381701</v>
      </c>
      <c r="L64">
        <v>-7.9973719347037703E-2</v>
      </c>
      <c r="N64">
        <v>8721.0059999999994</v>
      </c>
      <c r="O64">
        <v>406856.21183479601</v>
      </c>
      <c r="P64">
        <v>182341.11652738601</v>
      </c>
      <c r="Q64">
        <v>589197.32836218295</v>
      </c>
      <c r="S64">
        <v>8721.0059999999994</v>
      </c>
      <c r="T64">
        <v>113237.966378567</v>
      </c>
      <c r="V64">
        <v>8721.0059999999994</v>
      </c>
      <c r="W64">
        <v>22430.195148908799</v>
      </c>
    </row>
    <row r="65" spans="7:23" x14ac:dyDescent="0.25">
      <c r="G65">
        <v>8722.0059999999994</v>
      </c>
      <c r="H65">
        <v>425526.340409834</v>
      </c>
      <c r="I65">
        <v>27035.225480165998</v>
      </c>
      <c r="J65">
        <v>452561.56588999799</v>
      </c>
      <c r="K65">
        <v>27087.227585381701</v>
      </c>
      <c r="L65">
        <v>-7.9973719346639396E-2</v>
      </c>
      <c r="N65">
        <v>8722.0059999999994</v>
      </c>
      <c r="O65">
        <v>406916.00883479603</v>
      </c>
      <c r="P65">
        <v>182362.022527386</v>
      </c>
      <c r="Q65">
        <v>589278.03136218304</v>
      </c>
      <c r="S65">
        <v>8722.0059999999994</v>
      </c>
      <c r="T65">
        <v>113237.974378567</v>
      </c>
      <c r="V65">
        <v>8722.0059999999994</v>
      </c>
      <c r="W65">
        <v>22441.3821489088</v>
      </c>
    </row>
    <row r="66" spans="7:23" x14ac:dyDescent="0.25">
      <c r="G66">
        <v>8723.0059999999994</v>
      </c>
      <c r="H66">
        <v>425540.090409834</v>
      </c>
      <c r="I66">
        <v>27085.635480166002</v>
      </c>
      <c r="J66">
        <v>452625.72588999802</v>
      </c>
      <c r="K66">
        <v>27137.637585381701</v>
      </c>
      <c r="L66">
        <v>-7.99737193473503E-2</v>
      </c>
      <c r="N66">
        <v>8723.0059999999994</v>
      </c>
      <c r="O66">
        <v>406971.10183479602</v>
      </c>
      <c r="P66">
        <v>182382.92852738599</v>
      </c>
      <c r="Q66">
        <v>589354.02936218295</v>
      </c>
      <c r="S66">
        <v>8723.0059999999994</v>
      </c>
      <c r="T66">
        <v>113238.035378567</v>
      </c>
      <c r="V66">
        <v>8723.0059999999994</v>
      </c>
      <c r="W66">
        <v>22451.9141489088</v>
      </c>
    </row>
    <row r="67" spans="7:23" x14ac:dyDescent="0.25">
      <c r="G67">
        <v>8724.0059999999994</v>
      </c>
      <c r="H67">
        <v>425554.70240983402</v>
      </c>
      <c r="I67">
        <v>27134.213480165999</v>
      </c>
      <c r="J67">
        <v>452688.91588999802</v>
      </c>
      <c r="K67">
        <v>27186.215585381698</v>
      </c>
      <c r="L67">
        <v>-7.9973719346781894E-2</v>
      </c>
      <c r="N67">
        <v>8724.0059999999994</v>
      </c>
      <c r="O67">
        <v>407024.95283479599</v>
      </c>
      <c r="P67">
        <v>182403.834527386</v>
      </c>
      <c r="Q67">
        <v>589428.78636218305</v>
      </c>
      <c r="S67">
        <v>8724.0059999999994</v>
      </c>
      <c r="T67">
        <v>113238.107378567</v>
      </c>
      <c r="V67">
        <v>8724.0059999999994</v>
      </c>
      <c r="W67">
        <v>22462.387148908801</v>
      </c>
    </row>
    <row r="68" spans="7:23" x14ac:dyDescent="0.25">
      <c r="G68">
        <v>8725.0059999999994</v>
      </c>
      <c r="H68">
        <v>425567.090409834</v>
      </c>
      <c r="I68">
        <v>27188.475480165998</v>
      </c>
      <c r="J68">
        <v>452755.56588999799</v>
      </c>
      <c r="K68">
        <v>27240.477585381701</v>
      </c>
      <c r="L68">
        <v>-7.9973719347378805E-2</v>
      </c>
      <c r="N68">
        <v>8725.0059999999994</v>
      </c>
      <c r="O68">
        <v>407085.26783479599</v>
      </c>
      <c r="P68">
        <v>182424.739527386</v>
      </c>
      <c r="Q68">
        <v>589510.00736218295</v>
      </c>
      <c r="S68">
        <v>8725.0059999999994</v>
      </c>
      <c r="T68">
        <v>113238.11637856701</v>
      </c>
      <c r="V68">
        <v>8725.0059999999994</v>
      </c>
      <c r="W68">
        <v>22474.8981489088</v>
      </c>
    </row>
    <row r="69" spans="7:23" x14ac:dyDescent="0.25">
      <c r="G69">
        <v>8726.0059999999994</v>
      </c>
      <c r="H69">
        <v>425574.02740983397</v>
      </c>
      <c r="I69">
        <v>27244.928480166</v>
      </c>
      <c r="J69">
        <v>452818.955889998</v>
      </c>
      <c r="K69">
        <v>27296.930585381699</v>
      </c>
      <c r="L69">
        <v>-7.9973719346810301E-2</v>
      </c>
      <c r="N69">
        <v>8726.0059999999994</v>
      </c>
      <c r="O69">
        <v>407148.353834796</v>
      </c>
      <c r="P69">
        <v>182445.64552738599</v>
      </c>
      <c r="Q69">
        <v>589593.99936218304</v>
      </c>
      <c r="S69">
        <v>8726.0059999999994</v>
      </c>
      <c r="T69">
        <v>113238.129378567</v>
      </c>
      <c r="V69">
        <v>8726.0059999999994</v>
      </c>
      <c r="W69">
        <v>22488.728148908802</v>
      </c>
    </row>
    <row r="70" spans="7:23" x14ac:dyDescent="0.25">
      <c r="G70">
        <v>8727.0059999999994</v>
      </c>
      <c r="H70">
        <v>425575.01540983398</v>
      </c>
      <c r="I70">
        <v>27321.430480166</v>
      </c>
      <c r="J70">
        <v>452896.44588999799</v>
      </c>
      <c r="K70">
        <v>27373.432585381699</v>
      </c>
      <c r="L70">
        <v>-7.9973719346810301E-2</v>
      </c>
      <c r="N70">
        <v>8727.0059999999994</v>
      </c>
      <c r="O70">
        <v>407233.103834796</v>
      </c>
      <c r="P70">
        <v>182466.55152738601</v>
      </c>
      <c r="Q70">
        <v>589699.65636218304</v>
      </c>
      <c r="S70">
        <v>8727.0059999999994</v>
      </c>
      <c r="T70">
        <v>113238.129378567</v>
      </c>
      <c r="V70">
        <v>8727.0059999999994</v>
      </c>
      <c r="W70">
        <v>22510.296148908801</v>
      </c>
    </row>
    <row r="71" spans="7:23" x14ac:dyDescent="0.25">
      <c r="G71">
        <v>8728.0059999999994</v>
      </c>
      <c r="H71">
        <v>425575.02140983398</v>
      </c>
      <c r="I71">
        <v>27406.134480166002</v>
      </c>
      <c r="J71">
        <v>452981.15588999802</v>
      </c>
      <c r="K71">
        <v>27458.136585381701</v>
      </c>
      <c r="L71">
        <v>-7.9973719346810301E-2</v>
      </c>
      <c r="N71">
        <v>8728.0059999999994</v>
      </c>
      <c r="O71">
        <v>407332.43683479598</v>
      </c>
      <c r="P71">
        <v>182487.457527386</v>
      </c>
      <c r="Q71">
        <v>589819.89436218305</v>
      </c>
      <c r="S71">
        <v>8728.0059999999994</v>
      </c>
      <c r="T71">
        <v>113238.129378567</v>
      </c>
      <c r="V71">
        <v>8728.0059999999994</v>
      </c>
      <c r="W71">
        <v>22535.607148908799</v>
      </c>
    </row>
    <row r="72" spans="7:23" x14ac:dyDescent="0.25">
      <c r="G72">
        <v>8729.0059999999994</v>
      </c>
      <c r="H72">
        <v>425575.02140983398</v>
      </c>
      <c r="I72">
        <v>27514.924480165999</v>
      </c>
      <c r="J72">
        <v>453089.94588999799</v>
      </c>
      <c r="K72">
        <v>27566.926585381701</v>
      </c>
      <c r="L72">
        <v>-7.9973719346810301E-2</v>
      </c>
      <c r="N72">
        <v>8729.0059999999994</v>
      </c>
      <c r="O72">
        <v>407466.50883479603</v>
      </c>
      <c r="P72">
        <v>182508.36352738601</v>
      </c>
      <c r="Q72">
        <v>589974.87236218306</v>
      </c>
      <c r="S72">
        <v>8729.0059999999994</v>
      </c>
      <c r="T72">
        <v>113238.129378567</v>
      </c>
      <c r="V72">
        <v>8729.0059999999994</v>
      </c>
      <c r="W72">
        <v>22569.8451489088</v>
      </c>
    </row>
    <row r="73" spans="7:23" x14ac:dyDescent="0.25">
      <c r="G73">
        <v>8730.0059999999994</v>
      </c>
      <c r="H73">
        <v>425575.02140983398</v>
      </c>
      <c r="I73">
        <v>27620.744480165999</v>
      </c>
      <c r="J73">
        <v>453195.765889998</v>
      </c>
      <c r="K73">
        <v>27672.746585381701</v>
      </c>
      <c r="L73">
        <v>-7.9973719346810301E-2</v>
      </c>
      <c r="N73">
        <v>8730.0059999999994</v>
      </c>
      <c r="O73">
        <v>407594.07883479598</v>
      </c>
      <c r="P73">
        <v>182529.269527386</v>
      </c>
      <c r="Q73">
        <v>590123.34836218297</v>
      </c>
      <c r="S73">
        <v>8730.0059999999994</v>
      </c>
      <c r="T73">
        <v>113238.129378567</v>
      </c>
      <c r="V73">
        <v>8730.0059999999994</v>
      </c>
      <c r="W73">
        <v>22601.6641489088</v>
      </c>
    </row>
    <row r="74" spans="7:23" x14ac:dyDescent="0.25">
      <c r="G74">
        <v>8731.0059999999994</v>
      </c>
      <c r="H74">
        <v>425575.02140983398</v>
      </c>
      <c r="I74">
        <v>27709.554480166</v>
      </c>
      <c r="J74">
        <v>453284.575889998</v>
      </c>
      <c r="K74">
        <v>27761.556585381699</v>
      </c>
      <c r="L74">
        <v>-7.9973719346810301E-2</v>
      </c>
      <c r="N74">
        <v>8731.0059999999994</v>
      </c>
      <c r="O74">
        <v>407699.750834796</v>
      </c>
      <c r="P74">
        <v>182550.17552738599</v>
      </c>
      <c r="Q74">
        <v>590249.92636218295</v>
      </c>
      <c r="S74">
        <v>8731.0059999999994</v>
      </c>
      <c r="T74">
        <v>113238.129378567</v>
      </c>
      <c r="V74">
        <v>8731.0059999999994</v>
      </c>
      <c r="W74">
        <v>22626.854148908798</v>
      </c>
    </row>
    <row r="75" spans="7:23" x14ac:dyDescent="0.25">
      <c r="G75">
        <v>8732.0059999999994</v>
      </c>
      <c r="H75">
        <v>425575.02140983398</v>
      </c>
      <c r="I75">
        <v>27799.154480165998</v>
      </c>
      <c r="J75">
        <v>453374.17588999798</v>
      </c>
      <c r="K75">
        <v>27851.156585381701</v>
      </c>
      <c r="L75">
        <v>-7.9973719346810301E-2</v>
      </c>
      <c r="N75">
        <v>8732.0059999999994</v>
      </c>
      <c r="O75">
        <v>407806.16283479601</v>
      </c>
      <c r="P75">
        <v>182571.08152738601</v>
      </c>
      <c r="Q75">
        <v>590377.24436218303</v>
      </c>
      <c r="S75">
        <v>8732.0059999999994</v>
      </c>
      <c r="T75">
        <v>113238.129378567</v>
      </c>
      <c r="V75">
        <v>8732.0059999999994</v>
      </c>
      <c r="W75">
        <v>22647.704148908801</v>
      </c>
    </row>
    <row r="76" spans="7:23" x14ac:dyDescent="0.25">
      <c r="G76">
        <v>8733.0059999999994</v>
      </c>
      <c r="H76">
        <v>425575.02140983398</v>
      </c>
      <c r="I76">
        <v>27882.964480166</v>
      </c>
      <c r="J76">
        <v>453457.98588999797</v>
      </c>
      <c r="K76">
        <v>27934.966585381699</v>
      </c>
      <c r="L76">
        <v>-7.9973719346810301E-2</v>
      </c>
      <c r="N76">
        <v>8733.0059999999994</v>
      </c>
      <c r="O76">
        <v>407906.010834796</v>
      </c>
      <c r="P76">
        <v>182591.98652738601</v>
      </c>
      <c r="Q76">
        <v>590497.99836218299</v>
      </c>
      <c r="S76">
        <v>8733.0059999999994</v>
      </c>
      <c r="T76">
        <v>113238.129378567</v>
      </c>
      <c r="V76">
        <v>8733.0059999999994</v>
      </c>
      <c r="W76">
        <v>22667.420148908801</v>
      </c>
    </row>
    <row r="77" spans="7:23" x14ac:dyDescent="0.25">
      <c r="G77">
        <v>8734.0059999999994</v>
      </c>
      <c r="H77">
        <v>425575.02140983398</v>
      </c>
      <c r="I77">
        <v>27953.974480166002</v>
      </c>
      <c r="J77">
        <v>453528.99588999798</v>
      </c>
      <c r="K77">
        <v>28005.976585381701</v>
      </c>
      <c r="L77">
        <v>-7.9973719346810301E-2</v>
      </c>
      <c r="N77">
        <v>8734.0059999999994</v>
      </c>
      <c r="O77">
        <v>407984.83583479602</v>
      </c>
      <c r="P77">
        <v>182612.89252738599</v>
      </c>
      <c r="Q77">
        <v>590597.72836218297</v>
      </c>
      <c r="S77">
        <v>8734.0059999999994</v>
      </c>
      <c r="T77">
        <v>113238.129378567</v>
      </c>
      <c r="V77">
        <v>8734.0059999999994</v>
      </c>
      <c r="W77">
        <v>22682.0581489088</v>
      </c>
    </row>
    <row r="78" spans="7:23" x14ac:dyDescent="0.25">
      <c r="G78">
        <v>8735.0059999999994</v>
      </c>
      <c r="H78">
        <v>425575.02140983398</v>
      </c>
      <c r="I78">
        <v>28012.624480166</v>
      </c>
      <c r="J78">
        <v>453587.64588999801</v>
      </c>
      <c r="K78">
        <v>28064.626585381699</v>
      </c>
      <c r="L78">
        <v>-7.9973719346810301E-2</v>
      </c>
      <c r="N78">
        <v>8735.0059999999994</v>
      </c>
      <c r="O78">
        <v>408048.27683479601</v>
      </c>
      <c r="P78">
        <v>182633.79852738601</v>
      </c>
      <c r="Q78">
        <v>590682.07636218297</v>
      </c>
      <c r="S78">
        <v>8735.0059999999994</v>
      </c>
      <c r="T78">
        <v>113238.129378567</v>
      </c>
      <c r="V78">
        <v>8735.0059999999994</v>
      </c>
      <c r="W78">
        <v>22694.188148908801</v>
      </c>
    </row>
    <row r="79" spans="7:23" x14ac:dyDescent="0.25">
      <c r="G79">
        <v>8736.0059999999994</v>
      </c>
      <c r="H79">
        <v>425575.02140983398</v>
      </c>
      <c r="I79">
        <v>28057.354480165999</v>
      </c>
      <c r="J79">
        <v>453632.37588999799</v>
      </c>
      <c r="K79">
        <v>28109.356585381702</v>
      </c>
      <c r="L79">
        <v>-7.9973719346810301E-2</v>
      </c>
      <c r="N79">
        <v>8736.0059999999994</v>
      </c>
      <c r="O79">
        <v>408098.46383479598</v>
      </c>
      <c r="P79">
        <v>182654.704527386</v>
      </c>
      <c r="Q79">
        <v>590753.16836218303</v>
      </c>
      <c r="S79">
        <v>8736.0059999999994</v>
      </c>
      <c r="T79">
        <v>113238.129378567</v>
      </c>
      <c r="V79">
        <v>8736.0059999999994</v>
      </c>
      <c r="W79">
        <v>22702.745148908802</v>
      </c>
    </row>
    <row r="80" spans="7:23" x14ac:dyDescent="0.25">
      <c r="G80">
        <v>8737.0059999999994</v>
      </c>
      <c r="H80">
        <v>425575.02140983398</v>
      </c>
      <c r="I80">
        <v>28093.894480166</v>
      </c>
      <c r="J80">
        <v>453668.91588999802</v>
      </c>
      <c r="K80">
        <v>28145.896585381699</v>
      </c>
      <c r="L80">
        <v>-7.9973719346810301E-2</v>
      </c>
      <c r="N80">
        <v>8737.0059999999994</v>
      </c>
      <c r="O80">
        <v>408137.66183479602</v>
      </c>
      <c r="P80">
        <v>182675.61052738599</v>
      </c>
      <c r="Q80">
        <v>590813.27236218296</v>
      </c>
      <c r="S80">
        <v>8737.0059999999994</v>
      </c>
      <c r="T80">
        <v>113238.129378567</v>
      </c>
      <c r="V80">
        <v>8737.0059999999994</v>
      </c>
      <c r="W80">
        <v>22709.481148908799</v>
      </c>
    </row>
    <row r="81" spans="7:23" x14ac:dyDescent="0.25">
      <c r="G81">
        <v>8738.0059999999994</v>
      </c>
      <c r="H81">
        <v>425575.02140983398</v>
      </c>
      <c r="I81">
        <v>28127.434480166001</v>
      </c>
      <c r="J81">
        <v>453702.455889998</v>
      </c>
      <c r="K81">
        <v>28179.4365853817</v>
      </c>
      <c r="L81">
        <v>-7.9973719346810301E-2</v>
      </c>
      <c r="N81">
        <v>8738.0059999999994</v>
      </c>
      <c r="O81">
        <v>408172.74083479599</v>
      </c>
      <c r="P81">
        <v>182696.516527386</v>
      </c>
      <c r="Q81">
        <v>590869.25736218295</v>
      </c>
      <c r="S81">
        <v>8738.0059999999994</v>
      </c>
      <c r="T81">
        <v>113238.129378567</v>
      </c>
      <c r="V81">
        <v>8738.0059999999994</v>
      </c>
      <c r="W81">
        <v>22715.722148908801</v>
      </c>
    </row>
    <row r="82" spans="7:23" x14ac:dyDescent="0.25">
      <c r="G82">
        <v>8739.0059999999994</v>
      </c>
      <c r="H82">
        <v>425575.02140983398</v>
      </c>
      <c r="I82">
        <v>28156.954480166001</v>
      </c>
      <c r="J82">
        <v>453731.97588999802</v>
      </c>
      <c r="K82">
        <v>28208.9565853817</v>
      </c>
      <c r="L82">
        <v>-7.9973719346810301E-2</v>
      </c>
      <c r="N82">
        <v>8739.0059999999994</v>
      </c>
      <c r="O82">
        <v>408203.61583479599</v>
      </c>
      <c r="P82">
        <v>182717.42252738599</v>
      </c>
      <c r="Q82">
        <v>590921.03836218303</v>
      </c>
      <c r="S82">
        <v>8739.0059999999994</v>
      </c>
      <c r="T82">
        <v>113238.129378567</v>
      </c>
      <c r="V82">
        <v>8739.0059999999994</v>
      </c>
      <c r="W82">
        <v>22721.193148908798</v>
      </c>
    </row>
    <row r="83" spans="7:23" x14ac:dyDescent="0.25">
      <c r="G83">
        <v>8740.0059999999994</v>
      </c>
      <c r="H83">
        <v>425575.02140983398</v>
      </c>
      <c r="I83">
        <v>28185.914480166</v>
      </c>
      <c r="J83">
        <v>453760.93588999799</v>
      </c>
      <c r="K83">
        <v>28237.916585381699</v>
      </c>
      <c r="L83">
        <v>-7.9973719346810301E-2</v>
      </c>
      <c r="N83">
        <v>8740.0059999999994</v>
      </c>
      <c r="O83">
        <v>408235.41683479602</v>
      </c>
      <c r="P83">
        <v>182738.32852738601</v>
      </c>
      <c r="Q83">
        <v>590973.74536218296</v>
      </c>
      <c r="S83">
        <v>8740.0059999999994</v>
      </c>
      <c r="T83">
        <v>113238.129378567</v>
      </c>
      <c r="V83">
        <v>8740.0059999999994</v>
      </c>
      <c r="W83">
        <v>22726.472148908801</v>
      </c>
    </row>
    <row r="84" spans="7:23" x14ac:dyDescent="0.25">
      <c r="G84">
        <v>8741.0059999999994</v>
      </c>
      <c r="H84">
        <v>425575.02140983398</v>
      </c>
      <c r="I84">
        <v>28216.814480165998</v>
      </c>
      <c r="J84">
        <v>453791.83588999801</v>
      </c>
      <c r="K84">
        <v>28268.816585381701</v>
      </c>
      <c r="L84">
        <v>-7.9973719346810301E-2</v>
      </c>
      <c r="N84">
        <v>8741.0059999999994</v>
      </c>
      <c r="O84">
        <v>408269.83283479599</v>
      </c>
      <c r="P84">
        <v>182759.234527386</v>
      </c>
      <c r="Q84">
        <v>591029.06636218296</v>
      </c>
      <c r="S84">
        <v>8741.0059999999994</v>
      </c>
      <c r="T84">
        <v>113238.129378567</v>
      </c>
      <c r="V84">
        <v>8741.0059999999994</v>
      </c>
      <c r="W84">
        <v>22732.116148908801</v>
      </c>
    </row>
    <row r="85" spans="7:23" x14ac:dyDescent="0.25">
      <c r="G85">
        <v>8742.0059999999994</v>
      </c>
      <c r="H85">
        <v>425575.02140983398</v>
      </c>
      <c r="I85">
        <v>28253.724480166002</v>
      </c>
      <c r="J85">
        <v>453828.74588999798</v>
      </c>
      <c r="K85">
        <v>28305.726585381701</v>
      </c>
      <c r="L85">
        <v>-7.9973719346810301E-2</v>
      </c>
      <c r="N85">
        <v>8742.0059999999994</v>
      </c>
      <c r="O85">
        <v>408312.37383479602</v>
      </c>
      <c r="P85">
        <v>182780.139527386</v>
      </c>
      <c r="Q85">
        <v>591092.51436218305</v>
      </c>
      <c r="S85">
        <v>8742.0059999999994</v>
      </c>
      <c r="T85">
        <v>113238.129378567</v>
      </c>
      <c r="V85">
        <v>8742.0059999999994</v>
      </c>
      <c r="W85">
        <v>22738.9171489088</v>
      </c>
    </row>
    <row r="86" spans="7:23" x14ac:dyDescent="0.25">
      <c r="G86">
        <v>8743.0059999999994</v>
      </c>
      <c r="H86">
        <v>425575.02140983398</v>
      </c>
      <c r="I86">
        <v>28298.954480166001</v>
      </c>
      <c r="J86">
        <v>453873.97588999802</v>
      </c>
      <c r="K86">
        <v>28350.9565853817</v>
      </c>
      <c r="L86">
        <v>-7.9973719346810301E-2</v>
      </c>
      <c r="N86">
        <v>8743.0059999999994</v>
      </c>
      <c r="O86">
        <v>408366.29283479601</v>
      </c>
      <c r="P86">
        <v>182801.04552738601</v>
      </c>
      <c r="Q86">
        <v>591167.339362183</v>
      </c>
      <c r="S86">
        <v>8743.0059999999994</v>
      </c>
      <c r="T86">
        <v>113238.129378567</v>
      </c>
      <c r="V86">
        <v>8743.0059999999994</v>
      </c>
      <c r="W86">
        <v>22747.532148908798</v>
      </c>
    </row>
    <row r="87" spans="7:23" x14ac:dyDescent="0.25">
      <c r="G87">
        <v>8744.0059999999994</v>
      </c>
      <c r="H87">
        <v>425575.02140983398</v>
      </c>
      <c r="I87">
        <v>28355.284480165999</v>
      </c>
      <c r="J87">
        <v>453930.30588999798</v>
      </c>
      <c r="K87">
        <v>28407.286585381698</v>
      </c>
      <c r="L87">
        <v>-7.9973719346810301E-2</v>
      </c>
      <c r="N87">
        <v>8744.0059999999994</v>
      </c>
      <c r="O87">
        <v>408435.50383479602</v>
      </c>
      <c r="P87">
        <v>182821.951527386</v>
      </c>
      <c r="Q87">
        <v>591257.45536218304</v>
      </c>
      <c r="S87">
        <v>8744.0059999999994</v>
      </c>
      <c r="T87">
        <v>113238.129378567</v>
      </c>
      <c r="V87">
        <v>8744.0059999999994</v>
      </c>
      <c r="W87">
        <v>22759.964148908799</v>
      </c>
    </row>
    <row r="88" spans="7:23" x14ac:dyDescent="0.25">
      <c r="G88">
        <v>8745.0059999999994</v>
      </c>
      <c r="H88">
        <v>425575.02140983398</v>
      </c>
      <c r="I88">
        <v>28414.594480166001</v>
      </c>
      <c r="J88">
        <v>453989.61588999798</v>
      </c>
      <c r="K88">
        <v>28466.5965853817</v>
      </c>
      <c r="L88">
        <v>-7.9973719346810301E-2</v>
      </c>
      <c r="N88">
        <v>8745.0059999999994</v>
      </c>
      <c r="O88">
        <v>408508.50783479598</v>
      </c>
      <c r="P88">
        <v>182842.85752738599</v>
      </c>
      <c r="Q88">
        <v>591351.36636218301</v>
      </c>
      <c r="S88">
        <v>8745.0059999999994</v>
      </c>
      <c r="T88">
        <v>113238.129378567</v>
      </c>
      <c r="V88">
        <v>8745.0059999999994</v>
      </c>
      <c r="W88">
        <v>22773.304148908799</v>
      </c>
    </row>
    <row r="89" spans="7:23" x14ac:dyDescent="0.25">
      <c r="G89">
        <v>8746.0059999999994</v>
      </c>
      <c r="H89">
        <v>425575.02140983398</v>
      </c>
      <c r="I89">
        <v>28473.414480166</v>
      </c>
      <c r="J89">
        <v>454048.43588999799</v>
      </c>
      <c r="K89">
        <v>28525.416585381699</v>
      </c>
      <c r="L89">
        <v>-7.9973719346810301E-2</v>
      </c>
      <c r="N89">
        <v>8746.0059999999994</v>
      </c>
      <c r="O89">
        <v>408581.43683479598</v>
      </c>
      <c r="P89">
        <v>182863.76352738601</v>
      </c>
      <c r="Q89">
        <v>591445.20036218304</v>
      </c>
      <c r="S89">
        <v>8746.0059999999994</v>
      </c>
      <c r="T89">
        <v>113238.129378567</v>
      </c>
      <c r="V89">
        <v>8746.0059999999994</v>
      </c>
      <c r="W89">
        <v>22786.281148908802</v>
      </c>
    </row>
    <row r="90" spans="7:23" x14ac:dyDescent="0.25">
      <c r="G90">
        <v>8747.0059999999994</v>
      </c>
      <c r="H90">
        <v>425575.02140983398</v>
      </c>
      <c r="I90">
        <v>28536.694480165999</v>
      </c>
      <c r="J90">
        <v>454111.71588999801</v>
      </c>
      <c r="K90">
        <v>28588.696585381698</v>
      </c>
      <c r="L90">
        <v>-7.9973719346810301E-2</v>
      </c>
      <c r="N90">
        <v>8747.0059999999994</v>
      </c>
      <c r="O90">
        <v>408659.37483479601</v>
      </c>
      <c r="P90">
        <v>182884.669527386</v>
      </c>
      <c r="Q90">
        <v>591544.04436218296</v>
      </c>
      <c r="S90">
        <v>8747.0059999999994</v>
      </c>
      <c r="T90">
        <v>113238.129378567</v>
      </c>
      <c r="V90">
        <v>8747.0059999999994</v>
      </c>
      <c r="W90">
        <v>22800.2891489088</v>
      </c>
    </row>
    <row r="91" spans="7:23" x14ac:dyDescent="0.25">
      <c r="G91">
        <v>8748.0059999999994</v>
      </c>
      <c r="H91">
        <v>425595.14340983401</v>
      </c>
      <c r="I91">
        <v>28584.832480165998</v>
      </c>
      <c r="J91">
        <v>454179.97588999802</v>
      </c>
      <c r="K91">
        <v>28636.834585381701</v>
      </c>
      <c r="L91">
        <v>-7.9973719347094505E-2</v>
      </c>
      <c r="N91">
        <v>8748.0059999999994</v>
      </c>
      <c r="O91">
        <v>408718.08983479597</v>
      </c>
      <c r="P91">
        <v>182905.57552738601</v>
      </c>
      <c r="Q91">
        <v>591623.665362183</v>
      </c>
      <c r="S91">
        <v>8748.0059999999994</v>
      </c>
      <c r="T91">
        <v>113238.44937856701</v>
      </c>
      <c r="V91">
        <v>8748.0059999999994</v>
      </c>
      <c r="W91">
        <v>22810.812148908801</v>
      </c>
    </row>
    <row r="92" spans="7:23" x14ac:dyDescent="0.25">
      <c r="G92">
        <v>8749.0059999999994</v>
      </c>
      <c r="H92">
        <v>425605.35840983398</v>
      </c>
      <c r="I92">
        <v>28642.587480165999</v>
      </c>
      <c r="J92">
        <v>454247.94588999799</v>
      </c>
      <c r="K92">
        <v>28694.589585381698</v>
      </c>
      <c r="L92">
        <v>-7.9973719346924002E-2</v>
      </c>
      <c r="N92">
        <v>8749.0059999999994</v>
      </c>
      <c r="O92">
        <v>408788.14583479601</v>
      </c>
      <c r="P92">
        <v>182926.481527386</v>
      </c>
      <c r="Q92">
        <v>591714.62736218295</v>
      </c>
      <c r="S92">
        <v>8749.0059999999994</v>
      </c>
      <c r="T92">
        <v>113238.527378567</v>
      </c>
      <c r="V92">
        <v>8749.0059999999994</v>
      </c>
      <c r="W92">
        <v>22823.053148908799</v>
      </c>
    </row>
    <row r="93" spans="7:23" x14ac:dyDescent="0.25">
      <c r="G93">
        <v>8750.0059999999994</v>
      </c>
      <c r="H93">
        <v>425620.50440983399</v>
      </c>
      <c r="I93">
        <v>28697.891480165999</v>
      </c>
      <c r="J93">
        <v>454318.39588999801</v>
      </c>
      <c r="K93">
        <v>28749.893585381698</v>
      </c>
      <c r="L93">
        <v>-7.9973719347378805E-2</v>
      </c>
      <c r="N93">
        <v>8750.0059999999994</v>
      </c>
      <c r="O93">
        <v>408855.14783479599</v>
      </c>
      <c r="P93">
        <v>182947.38752738599</v>
      </c>
      <c r="Q93">
        <v>591802.535362183</v>
      </c>
      <c r="S93">
        <v>8750.0059999999994</v>
      </c>
      <c r="T93">
        <v>113238.63137856701</v>
      </c>
      <c r="V93">
        <v>8750.0059999999994</v>
      </c>
      <c r="W93">
        <v>22834.7211489088</v>
      </c>
    </row>
    <row r="94" spans="7:23" x14ac:dyDescent="0.25">
      <c r="G94">
        <v>8751.0059999999994</v>
      </c>
      <c r="H94">
        <v>425634.23440983403</v>
      </c>
      <c r="I94">
        <v>28758.811480166001</v>
      </c>
      <c r="J94">
        <v>454393.04588999797</v>
      </c>
      <c r="K94">
        <v>28810.8135853817</v>
      </c>
      <c r="L94">
        <v>-7.9973719346895594E-2</v>
      </c>
      <c r="N94">
        <v>8751.0059999999994</v>
      </c>
      <c r="O94">
        <v>408929.90683479601</v>
      </c>
      <c r="P94">
        <v>182968.29252738599</v>
      </c>
      <c r="Q94">
        <v>591898.19936218299</v>
      </c>
      <c r="S94">
        <v>8751.0059999999994</v>
      </c>
      <c r="T94">
        <v>113238.70737856701</v>
      </c>
      <c r="V94">
        <v>8751.0059999999994</v>
      </c>
      <c r="W94">
        <v>22846.637148908801</v>
      </c>
    </row>
    <row r="95" spans="7:23" x14ac:dyDescent="0.25">
      <c r="G95">
        <v>8752.0059999999994</v>
      </c>
      <c r="H95">
        <v>425647.96440983401</v>
      </c>
      <c r="I95">
        <v>28834.051480165999</v>
      </c>
      <c r="J95">
        <v>454482.015889998</v>
      </c>
      <c r="K95">
        <v>28886.053585381698</v>
      </c>
      <c r="L95">
        <v>-7.9973719347293498E-2</v>
      </c>
      <c r="N95">
        <v>8752.0059999999994</v>
      </c>
      <c r="O95">
        <v>409023.809834796</v>
      </c>
      <c r="P95">
        <v>182989.198527386</v>
      </c>
      <c r="Q95">
        <v>592013.00936218305</v>
      </c>
      <c r="S95">
        <v>8752.0059999999994</v>
      </c>
      <c r="T95">
        <v>113238.78737856699</v>
      </c>
      <c r="V95">
        <v>8752.0059999999994</v>
      </c>
      <c r="W95">
        <v>22861.352148908802</v>
      </c>
    </row>
    <row r="96" spans="7:23" x14ac:dyDescent="0.25">
      <c r="G96">
        <v>8753.0059999999994</v>
      </c>
      <c r="H96">
        <v>425661.69440983399</v>
      </c>
      <c r="I96">
        <v>28929.891480165999</v>
      </c>
      <c r="J96">
        <v>454591.58588999801</v>
      </c>
      <c r="K96">
        <v>28981.893585381698</v>
      </c>
      <c r="L96">
        <v>-7.9973719347407199E-2</v>
      </c>
      <c r="N96">
        <v>8753.0059999999994</v>
      </c>
      <c r="O96">
        <v>409143.56683479599</v>
      </c>
      <c r="P96">
        <v>183010.10452738599</v>
      </c>
      <c r="Q96">
        <v>592153.67136218306</v>
      </c>
      <c r="S96">
        <v>8753.0059999999994</v>
      </c>
      <c r="T96">
        <v>113238.812378567</v>
      </c>
      <c r="V96">
        <v>8753.0059999999994</v>
      </c>
      <c r="W96">
        <v>22880.584148908802</v>
      </c>
    </row>
    <row r="97" spans="7:23" x14ac:dyDescent="0.25">
      <c r="G97">
        <v>8754.0059999999994</v>
      </c>
      <c r="H97">
        <v>425675.42540983402</v>
      </c>
      <c r="I97">
        <v>29024.390480165999</v>
      </c>
      <c r="J97">
        <v>454699.81588999799</v>
      </c>
      <c r="K97">
        <v>29076.392585381702</v>
      </c>
      <c r="L97">
        <v>-7.99737193475209E-2</v>
      </c>
      <c r="N97">
        <v>8754.0059999999994</v>
      </c>
      <c r="O97">
        <v>409259.60483479599</v>
      </c>
      <c r="P97">
        <v>183031.01052738601</v>
      </c>
      <c r="Q97">
        <v>592290.61536218296</v>
      </c>
      <c r="S97">
        <v>8754.0059999999994</v>
      </c>
      <c r="T97">
        <v>113238.865378567</v>
      </c>
      <c r="V97">
        <v>8754.0059999999994</v>
      </c>
      <c r="W97">
        <v>22898.849148908801</v>
      </c>
    </row>
    <row r="98" spans="7:23" x14ac:dyDescent="0.25">
      <c r="G98">
        <v>8755.0059999999994</v>
      </c>
      <c r="H98">
        <v>425689.155409834</v>
      </c>
      <c r="I98">
        <v>29096.280480165999</v>
      </c>
      <c r="J98">
        <v>454785.43588999799</v>
      </c>
      <c r="K98">
        <v>29148.282585381701</v>
      </c>
      <c r="L98">
        <v>-7.9973719347236696E-2</v>
      </c>
      <c r="N98">
        <v>8755.0059999999994</v>
      </c>
      <c r="O98">
        <v>409345.62683479598</v>
      </c>
      <c r="P98">
        <v>183051.916527386</v>
      </c>
      <c r="Q98">
        <v>592397.54336218303</v>
      </c>
      <c r="S98">
        <v>8755.0059999999994</v>
      </c>
      <c r="T98">
        <v>113238.88137856701</v>
      </c>
      <c r="V98">
        <v>8755.0059999999994</v>
      </c>
      <c r="W98">
        <v>22911.2551489088</v>
      </c>
    </row>
    <row r="99" spans="7:23" x14ac:dyDescent="0.25">
      <c r="G99">
        <v>8756.0059999999994</v>
      </c>
      <c r="H99">
        <v>425702.88540983398</v>
      </c>
      <c r="I99">
        <v>29173.880480166001</v>
      </c>
      <c r="J99">
        <v>454876.765889998</v>
      </c>
      <c r="K99">
        <v>29225.8825853817</v>
      </c>
      <c r="L99">
        <v>-7.9973719347407199E-2</v>
      </c>
      <c r="N99">
        <v>8756.0059999999994</v>
      </c>
      <c r="O99">
        <v>409436.33983479597</v>
      </c>
      <c r="P99">
        <v>183072.82252738599</v>
      </c>
      <c r="Q99">
        <v>592509.16236218298</v>
      </c>
      <c r="S99">
        <v>8756.0059999999994</v>
      </c>
      <c r="T99">
        <v>113238.956378567</v>
      </c>
      <c r="V99">
        <v>8756.0059999999994</v>
      </c>
      <c r="W99">
        <v>22924.264148908798</v>
      </c>
    </row>
    <row r="100" spans="7:23" x14ac:dyDescent="0.25">
      <c r="G100">
        <v>8757.0059999999994</v>
      </c>
      <c r="H100">
        <v>425711.92240983399</v>
      </c>
      <c r="I100">
        <v>29239.783480165999</v>
      </c>
      <c r="J100">
        <v>454951.705889998</v>
      </c>
      <c r="K100">
        <v>29291.785585381698</v>
      </c>
      <c r="L100">
        <v>-7.9973719347492395E-2</v>
      </c>
      <c r="N100">
        <v>8757.0059999999994</v>
      </c>
      <c r="O100">
        <v>409512.19883479603</v>
      </c>
      <c r="P100">
        <v>183093.728527386</v>
      </c>
      <c r="Q100">
        <v>592605.92736218299</v>
      </c>
      <c r="S100">
        <v>8757.0059999999994</v>
      </c>
      <c r="T100">
        <v>113238.98737856701</v>
      </c>
      <c r="V100">
        <v>8757.0059999999994</v>
      </c>
      <c r="W100">
        <v>22935.0061489088</v>
      </c>
    </row>
    <row r="101" spans="7:23" x14ac:dyDescent="0.25">
      <c r="G101">
        <v>8758.0059999999994</v>
      </c>
      <c r="H101">
        <v>425711.92240983399</v>
      </c>
      <c r="I101">
        <v>29308.283480165999</v>
      </c>
      <c r="J101">
        <v>455020.205889998</v>
      </c>
      <c r="K101">
        <v>29360.285585381698</v>
      </c>
      <c r="L101">
        <v>-7.9973719347492395E-2</v>
      </c>
      <c r="N101">
        <v>8758.0059999999994</v>
      </c>
      <c r="O101">
        <v>409588.84983479598</v>
      </c>
      <c r="P101">
        <v>183114.63452738599</v>
      </c>
      <c r="Q101">
        <v>592703.48436218302</v>
      </c>
      <c r="S101">
        <v>8758.0059999999994</v>
      </c>
      <c r="T101">
        <v>113238.98737856701</v>
      </c>
      <c r="V101">
        <v>8758.0059999999994</v>
      </c>
      <c r="W101">
        <v>22946.135148908801</v>
      </c>
    </row>
    <row r="102" spans="7:23" x14ac:dyDescent="0.25">
      <c r="G102">
        <v>8759.0059999999994</v>
      </c>
      <c r="H102">
        <v>425711.92240983399</v>
      </c>
      <c r="I102">
        <v>29368.063480166002</v>
      </c>
      <c r="J102">
        <v>455079.98588999797</v>
      </c>
      <c r="K102">
        <v>29420.095585381699</v>
      </c>
      <c r="L102">
        <v>-7.9973719347492395E-2</v>
      </c>
      <c r="N102">
        <v>8759.0059999999994</v>
      </c>
      <c r="O102">
        <v>409650.021834796</v>
      </c>
      <c r="P102">
        <v>183135.53952738599</v>
      </c>
      <c r="Q102">
        <v>592785.562362183</v>
      </c>
      <c r="S102">
        <v>8759.0059999999994</v>
      </c>
      <c r="T102">
        <v>113238.98737856701</v>
      </c>
      <c r="V102">
        <v>8759.0059999999994</v>
      </c>
      <c r="W102">
        <v>22955.7711489088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FFFB-0911-4B10-A0BF-C6CA1542A709}">
  <dimension ref="G3:W103"/>
  <sheetViews>
    <sheetView topLeftCell="C85" workbookViewId="0">
      <selection activeCell="G103" sqref="G103"/>
    </sheetView>
  </sheetViews>
  <sheetFormatPr defaultRowHeight="15" x14ac:dyDescent="0.25"/>
  <sheetData>
    <row r="3" spans="7:23" x14ac:dyDescent="0.25">
      <c r="H3" t="s">
        <v>46</v>
      </c>
      <c r="I3" t="s">
        <v>47</v>
      </c>
      <c r="J3" t="s">
        <v>48</v>
      </c>
      <c r="K3" t="s">
        <v>49</v>
      </c>
      <c r="L3" t="s">
        <v>50</v>
      </c>
      <c r="O3" t="s">
        <v>51</v>
      </c>
      <c r="P3" t="s">
        <v>40</v>
      </c>
      <c r="Q3" t="s">
        <v>41</v>
      </c>
      <c r="T3" t="s">
        <v>52</v>
      </c>
      <c r="W3" t="s">
        <v>42</v>
      </c>
    </row>
    <row r="4" spans="7:23" x14ac:dyDescent="0.25">
      <c r="G4">
        <v>8660.0059999999994</v>
      </c>
      <c r="H4">
        <v>637773.45211475098</v>
      </c>
      <c r="I4">
        <v>-188944.03622474999</v>
      </c>
      <c r="J4">
        <v>448829.41588999802</v>
      </c>
      <c r="K4">
        <v>-188892.51578891699</v>
      </c>
      <c r="L4">
        <v>-0.25197543081162599</v>
      </c>
      <c r="N4">
        <v>8660.0059999999994</v>
      </c>
      <c r="O4">
        <v>300948.93373837799</v>
      </c>
      <c r="P4">
        <v>181065.85752738599</v>
      </c>
      <c r="Q4">
        <v>482014.79126576398</v>
      </c>
      <c r="S4">
        <v>8660.0059999999994</v>
      </c>
      <c r="T4">
        <v>183415.10316813001</v>
      </c>
      <c r="V4">
        <v>8660.0059999999994</v>
      </c>
      <c r="W4">
        <v>-45401.887210073503</v>
      </c>
    </row>
    <row r="5" spans="7:23" x14ac:dyDescent="0.25">
      <c r="G5">
        <v>8661.0059999999994</v>
      </c>
      <c r="H5">
        <v>637773.45211475098</v>
      </c>
      <c r="I5">
        <v>-188863.96622475001</v>
      </c>
      <c r="J5">
        <v>448909.48588999797</v>
      </c>
      <c r="K5">
        <v>-188812.44578891699</v>
      </c>
      <c r="L5">
        <v>-0.25197543081162599</v>
      </c>
      <c r="N5">
        <v>8661.0059999999994</v>
      </c>
      <c r="O5">
        <v>301024.91273837799</v>
      </c>
      <c r="P5">
        <v>181086.76352738601</v>
      </c>
      <c r="Q5">
        <v>482111.67626576399</v>
      </c>
      <c r="S5">
        <v>8661.0059999999994</v>
      </c>
      <c r="T5">
        <v>183415.10316813001</v>
      </c>
      <c r="V5">
        <v>8661.0059999999994</v>
      </c>
      <c r="W5">
        <v>-45381.456210073498</v>
      </c>
    </row>
    <row r="6" spans="7:23" x14ac:dyDescent="0.25">
      <c r="G6">
        <v>8662.0059999999994</v>
      </c>
      <c r="H6">
        <v>637773.45211475098</v>
      </c>
      <c r="I6">
        <v>-188798.68622475001</v>
      </c>
      <c r="J6">
        <v>448974.765889998</v>
      </c>
      <c r="K6">
        <v>-188747.16578891699</v>
      </c>
      <c r="L6">
        <v>-0.25197543081162599</v>
      </c>
      <c r="N6">
        <v>8662.0059999999994</v>
      </c>
      <c r="O6">
        <v>301080.08873837802</v>
      </c>
      <c r="P6">
        <v>181107.669527386</v>
      </c>
      <c r="Q6">
        <v>482187.75826576399</v>
      </c>
      <c r="S6">
        <v>8662.0059999999994</v>
      </c>
      <c r="T6">
        <v>183415.10316813001</v>
      </c>
      <c r="V6">
        <v>8662.0059999999994</v>
      </c>
      <c r="W6">
        <v>-45366.093210073501</v>
      </c>
    </row>
    <row r="7" spans="7:23" x14ac:dyDescent="0.25">
      <c r="G7">
        <v>8663.0059999999994</v>
      </c>
      <c r="H7">
        <v>637773.45211475098</v>
      </c>
      <c r="I7">
        <v>-188742.72622474999</v>
      </c>
      <c r="J7">
        <v>449030.72588999802</v>
      </c>
      <c r="K7">
        <v>-188691.205788917</v>
      </c>
      <c r="L7">
        <v>-0.25197543081162599</v>
      </c>
      <c r="N7">
        <v>8663.0059999999994</v>
      </c>
      <c r="O7">
        <v>301124.21473837801</v>
      </c>
      <c r="P7">
        <v>181128.57552738601</v>
      </c>
      <c r="Q7">
        <v>482252.79026576399</v>
      </c>
      <c r="S7">
        <v>8663.0059999999994</v>
      </c>
      <c r="T7">
        <v>183415.10316813001</v>
      </c>
      <c r="V7">
        <v>8663.0059999999994</v>
      </c>
      <c r="W7">
        <v>-45356.795210073498</v>
      </c>
    </row>
    <row r="8" spans="7:23" x14ac:dyDescent="0.25">
      <c r="G8">
        <v>8664.0059999999994</v>
      </c>
      <c r="H8">
        <v>637773.45211475098</v>
      </c>
      <c r="I8">
        <v>-188692.42622475</v>
      </c>
      <c r="J8">
        <v>449081.02588999801</v>
      </c>
      <c r="K8">
        <v>-188640.90578891701</v>
      </c>
      <c r="L8">
        <v>-0.25197543081162599</v>
      </c>
      <c r="N8">
        <v>8664.0059999999994</v>
      </c>
      <c r="O8">
        <v>301163.98973837798</v>
      </c>
      <c r="P8">
        <v>181149.481527386</v>
      </c>
      <c r="Q8">
        <v>482313.47126576398</v>
      </c>
      <c r="S8">
        <v>8664.0059999999994</v>
      </c>
      <c r="T8">
        <v>183415.10316813001</v>
      </c>
      <c r="V8">
        <v>8664.0059999999994</v>
      </c>
      <c r="W8">
        <v>-45348.914210073497</v>
      </c>
    </row>
    <row r="9" spans="7:23" x14ac:dyDescent="0.25">
      <c r="G9">
        <v>8665.0059999999994</v>
      </c>
      <c r="H9">
        <v>637773.45211475098</v>
      </c>
      <c r="I9">
        <v>-188655.42622475</v>
      </c>
      <c r="J9">
        <v>449118.02588999801</v>
      </c>
      <c r="K9">
        <v>-188603.90578891701</v>
      </c>
      <c r="L9">
        <v>-0.25197543081162599</v>
      </c>
      <c r="N9">
        <v>8665.0059999999994</v>
      </c>
      <c r="O9">
        <v>301187.86573837802</v>
      </c>
      <c r="P9">
        <v>181170.386527386</v>
      </c>
      <c r="Q9">
        <v>482358.25226576399</v>
      </c>
      <c r="S9">
        <v>8665.0059999999994</v>
      </c>
      <c r="T9">
        <v>183415.10316813001</v>
      </c>
      <c r="V9">
        <v>8665.0059999999994</v>
      </c>
      <c r="W9">
        <v>-45343.723210073498</v>
      </c>
    </row>
    <row r="10" spans="7:23" x14ac:dyDescent="0.25">
      <c r="G10">
        <v>8666.0059999999994</v>
      </c>
      <c r="H10">
        <v>637773.45211475098</v>
      </c>
      <c r="I10">
        <v>-188623.31622474999</v>
      </c>
      <c r="J10">
        <v>449150.135889998</v>
      </c>
      <c r="K10">
        <v>-188571.79578891699</v>
      </c>
      <c r="L10">
        <v>-0.25197543081162599</v>
      </c>
      <c r="N10">
        <v>8666.0059999999994</v>
      </c>
      <c r="O10">
        <v>301205.32773837802</v>
      </c>
      <c r="P10">
        <v>181191.29252738599</v>
      </c>
      <c r="Q10">
        <v>482396.621265764</v>
      </c>
      <c r="S10">
        <v>8666.0059999999994</v>
      </c>
      <c r="T10">
        <v>183415.10316813001</v>
      </c>
      <c r="V10">
        <v>8666.0059999999994</v>
      </c>
      <c r="W10">
        <v>-45339.984210073497</v>
      </c>
    </row>
    <row r="11" spans="7:23" x14ac:dyDescent="0.25">
      <c r="G11">
        <v>8667.0059999999994</v>
      </c>
      <c r="H11">
        <v>637773.45211475098</v>
      </c>
      <c r="I11">
        <v>-188593.59622475001</v>
      </c>
      <c r="J11">
        <v>449179.85588999803</v>
      </c>
      <c r="K11">
        <v>-188542.07578891699</v>
      </c>
      <c r="L11">
        <v>-0.25197543081162599</v>
      </c>
      <c r="N11">
        <v>8667.0059999999994</v>
      </c>
      <c r="O11">
        <v>301219.27373837802</v>
      </c>
      <c r="P11">
        <v>181212.198527386</v>
      </c>
      <c r="Q11">
        <v>482431.47226576402</v>
      </c>
      <c r="S11">
        <v>8667.0059999999994</v>
      </c>
      <c r="T11">
        <v>183415.10316813001</v>
      </c>
      <c r="V11">
        <v>8667.0059999999994</v>
      </c>
      <c r="W11">
        <v>-45336.900210073502</v>
      </c>
    </row>
    <row r="12" spans="7:23" x14ac:dyDescent="0.25">
      <c r="G12">
        <v>8668.0059999999994</v>
      </c>
      <c r="H12">
        <v>637773.45211475098</v>
      </c>
      <c r="I12">
        <v>-188564.71622475001</v>
      </c>
      <c r="J12">
        <v>449208.73588999797</v>
      </c>
      <c r="K12">
        <v>-188513.145788917</v>
      </c>
      <c r="L12">
        <v>-0.25197543081162599</v>
      </c>
      <c r="N12">
        <v>8668.0059999999994</v>
      </c>
      <c r="O12">
        <v>301226.74073837802</v>
      </c>
      <c r="P12">
        <v>181233.10452738599</v>
      </c>
      <c r="Q12">
        <v>482459.84526576399</v>
      </c>
      <c r="S12">
        <v>8668.0059999999994</v>
      </c>
      <c r="T12">
        <v>183415.10316813001</v>
      </c>
      <c r="V12">
        <v>8668.0059999999994</v>
      </c>
      <c r="W12">
        <v>-45333.882210073498</v>
      </c>
    </row>
    <row r="13" spans="7:23" x14ac:dyDescent="0.25">
      <c r="G13">
        <v>8669.0059999999994</v>
      </c>
      <c r="H13">
        <v>637773.45211475098</v>
      </c>
      <c r="I13">
        <v>-188535.59622475001</v>
      </c>
      <c r="J13">
        <v>449237.85588999803</v>
      </c>
      <c r="K13">
        <v>-188484.025788917</v>
      </c>
      <c r="L13">
        <v>-0.25197543081162599</v>
      </c>
      <c r="N13">
        <v>8669.0059999999994</v>
      </c>
      <c r="O13">
        <v>301226.97973837802</v>
      </c>
      <c r="P13">
        <v>181254.01052738601</v>
      </c>
      <c r="Q13">
        <v>482480.99026576401</v>
      </c>
      <c r="S13">
        <v>8669.0059999999994</v>
      </c>
      <c r="T13">
        <v>183415.10316813001</v>
      </c>
      <c r="V13">
        <v>8669.0059999999994</v>
      </c>
      <c r="W13">
        <v>-45330.901210073498</v>
      </c>
    </row>
    <row r="14" spans="7:23" x14ac:dyDescent="0.25">
      <c r="G14">
        <v>8670.0059999999994</v>
      </c>
      <c r="H14">
        <v>637773.45211475098</v>
      </c>
      <c r="I14">
        <v>-188501.33622475</v>
      </c>
      <c r="J14">
        <v>449272.11588999798</v>
      </c>
      <c r="K14">
        <v>-188449.76578891699</v>
      </c>
      <c r="L14">
        <v>-0.25197543081162599</v>
      </c>
      <c r="N14">
        <v>8670.0059999999994</v>
      </c>
      <c r="O14">
        <v>301227.08173837798</v>
      </c>
      <c r="P14">
        <v>181274.916527386</v>
      </c>
      <c r="Q14">
        <v>482501.99826576398</v>
      </c>
      <c r="S14">
        <v>8670.0059999999994</v>
      </c>
      <c r="T14">
        <v>183415.10316813001</v>
      </c>
      <c r="V14">
        <v>8670.0059999999994</v>
      </c>
      <c r="W14">
        <v>-45327.245210073503</v>
      </c>
    </row>
    <row r="15" spans="7:23" x14ac:dyDescent="0.25">
      <c r="G15">
        <v>8671.0059999999994</v>
      </c>
      <c r="H15">
        <v>637773.45211475098</v>
      </c>
      <c r="I15">
        <v>-188459.83622475</v>
      </c>
      <c r="J15">
        <v>449313.61588999798</v>
      </c>
      <c r="K15">
        <v>-188408.26578891699</v>
      </c>
      <c r="L15">
        <v>-0.25197543081162599</v>
      </c>
      <c r="N15">
        <v>8671.0059999999994</v>
      </c>
      <c r="O15">
        <v>301227.42273837799</v>
      </c>
      <c r="P15">
        <v>181295.82252738599</v>
      </c>
      <c r="Q15">
        <v>482523.24526576401</v>
      </c>
      <c r="S15">
        <v>8671.0059999999994</v>
      </c>
      <c r="T15">
        <v>183415.10316813001</v>
      </c>
      <c r="V15">
        <v>8671.0059999999994</v>
      </c>
      <c r="W15">
        <v>-45322.674210073499</v>
      </c>
    </row>
    <row r="16" spans="7:23" x14ac:dyDescent="0.25">
      <c r="G16">
        <v>8672.0059999999994</v>
      </c>
      <c r="H16">
        <v>637773.45211475098</v>
      </c>
      <c r="I16">
        <v>-188404.99622475001</v>
      </c>
      <c r="J16">
        <v>449368.455889998</v>
      </c>
      <c r="K16">
        <v>-188353.425788917</v>
      </c>
      <c r="L16">
        <v>-0.25197543081162599</v>
      </c>
      <c r="N16">
        <v>8672.0059999999994</v>
      </c>
      <c r="O16">
        <v>301267.514738378</v>
      </c>
      <c r="P16">
        <v>181316.728527386</v>
      </c>
      <c r="Q16">
        <v>482584.24326576397</v>
      </c>
      <c r="S16">
        <v>8672.0059999999994</v>
      </c>
      <c r="T16">
        <v>183415.10316813001</v>
      </c>
      <c r="V16">
        <v>8672.0059999999994</v>
      </c>
      <c r="W16">
        <v>-45314.207210073502</v>
      </c>
    </row>
    <row r="17" spans="7:23" x14ac:dyDescent="0.25">
      <c r="G17">
        <v>8673.0059999999994</v>
      </c>
      <c r="H17">
        <v>637774.57811475196</v>
      </c>
      <c r="I17">
        <v>-188337.77222474999</v>
      </c>
      <c r="J17">
        <v>449436.80588999798</v>
      </c>
      <c r="K17">
        <v>-188286.20178891701</v>
      </c>
      <c r="L17">
        <v>-0.25197543081162599</v>
      </c>
      <c r="N17">
        <v>8673.0059999999994</v>
      </c>
      <c r="O17">
        <v>301317.81473837799</v>
      </c>
      <c r="P17">
        <v>181337.633527386</v>
      </c>
      <c r="Q17">
        <v>482655.44926576398</v>
      </c>
      <c r="S17">
        <v>8673.0059999999994</v>
      </c>
      <c r="T17">
        <v>183415.10316813001</v>
      </c>
      <c r="V17">
        <v>8673.0059999999994</v>
      </c>
      <c r="W17">
        <v>-45303.118210073502</v>
      </c>
    </row>
    <row r="18" spans="7:23" x14ac:dyDescent="0.25">
      <c r="G18">
        <v>8674.0059999999994</v>
      </c>
      <c r="H18">
        <v>637786.87911475101</v>
      </c>
      <c r="I18">
        <v>-188271.60322475</v>
      </c>
      <c r="J18">
        <v>449515.27588999801</v>
      </c>
      <c r="K18">
        <v>-188220.03278891699</v>
      </c>
      <c r="L18">
        <v>-0.251975430811683</v>
      </c>
      <c r="N18">
        <v>8674.0059999999994</v>
      </c>
      <c r="O18">
        <v>301366.38673837797</v>
      </c>
      <c r="P18">
        <v>181358.53952738599</v>
      </c>
      <c r="Q18">
        <v>482724.92626576399</v>
      </c>
      <c r="S18">
        <v>8674.0059999999994</v>
      </c>
      <c r="T18">
        <v>183415.15416812999</v>
      </c>
      <c r="V18">
        <v>8674.0059999999994</v>
      </c>
      <c r="W18">
        <v>-45291.473210073498</v>
      </c>
    </row>
    <row r="19" spans="7:23" x14ac:dyDescent="0.25">
      <c r="G19">
        <v>8675.0059999999994</v>
      </c>
      <c r="H19">
        <v>637815.65011475096</v>
      </c>
      <c r="I19">
        <v>-188221.54422474999</v>
      </c>
      <c r="J19">
        <v>449594.10588999803</v>
      </c>
      <c r="K19">
        <v>-188169.97378891701</v>
      </c>
      <c r="L19">
        <v>-0.251975430811825</v>
      </c>
      <c r="N19">
        <v>8675.0059999999994</v>
      </c>
      <c r="O19">
        <v>301406.68173837801</v>
      </c>
      <c r="P19">
        <v>181379.44552738601</v>
      </c>
      <c r="Q19">
        <v>482786.12726576399</v>
      </c>
      <c r="S19">
        <v>8675.0059999999994</v>
      </c>
      <c r="T19">
        <v>183415.68216813001</v>
      </c>
      <c r="V19">
        <v>8675.0059999999994</v>
      </c>
      <c r="W19">
        <v>-45282.048210073503</v>
      </c>
    </row>
    <row r="20" spans="7:23" x14ac:dyDescent="0.25">
      <c r="G20">
        <v>8676.0059999999994</v>
      </c>
      <c r="H20">
        <v>637850.472114751</v>
      </c>
      <c r="I20">
        <v>-188183.46622475001</v>
      </c>
      <c r="J20">
        <v>449667.00588999799</v>
      </c>
      <c r="K20">
        <v>-188131.895788917</v>
      </c>
      <c r="L20">
        <v>-0.25197543081179602</v>
      </c>
      <c r="N20">
        <v>8676.0059999999994</v>
      </c>
      <c r="O20">
        <v>301436.280738378</v>
      </c>
      <c r="P20">
        <v>181400.351527386</v>
      </c>
      <c r="Q20">
        <v>482836.632265764</v>
      </c>
      <c r="S20">
        <v>8676.0059999999994</v>
      </c>
      <c r="T20">
        <v>183416.78116812999</v>
      </c>
      <c r="V20">
        <v>8676.0059999999994</v>
      </c>
      <c r="W20">
        <v>-45274.196210073504</v>
      </c>
    </row>
    <row r="21" spans="7:23" x14ac:dyDescent="0.25">
      <c r="G21">
        <v>8677.0059999999994</v>
      </c>
      <c r="H21">
        <v>637885.53211475105</v>
      </c>
      <c r="I21">
        <v>-188144.07622475</v>
      </c>
      <c r="J21">
        <v>449741.455889998</v>
      </c>
      <c r="K21">
        <v>-188092.50578891701</v>
      </c>
      <c r="L21">
        <v>-0.25197543081151202</v>
      </c>
      <c r="N21">
        <v>8677.0059999999994</v>
      </c>
      <c r="O21">
        <v>301466.19473837799</v>
      </c>
      <c r="P21">
        <v>181421.25752738601</v>
      </c>
      <c r="Q21">
        <v>482887.452265764</v>
      </c>
      <c r="S21">
        <v>8677.0059999999994</v>
      </c>
      <c r="T21">
        <v>183417.91316813001</v>
      </c>
      <c r="V21">
        <v>8677.0059999999994</v>
      </c>
      <c r="W21">
        <v>-45266.440210073502</v>
      </c>
    </row>
    <row r="22" spans="7:23" x14ac:dyDescent="0.25">
      <c r="G22">
        <v>8678.0059999999994</v>
      </c>
      <c r="H22">
        <v>637909.494114751</v>
      </c>
      <c r="I22">
        <v>-188098.18822474999</v>
      </c>
      <c r="J22">
        <v>449811.30588999798</v>
      </c>
      <c r="K22">
        <v>-188046.61778891701</v>
      </c>
      <c r="L22">
        <v>-0.25197543081222301</v>
      </c>
      <c r="N22">
        <v>8678.0059999999994</v>
      </c>
      <c r="O22">
        <v>301504.568738378</v>
      </c>
      <c r="P22">
        <v>181442.163527386</v>
      </c>
      <c r="Q22">
        <v>482946.73226576397</v>
      </c>
      <c r="S22">
        <v>8678.0059999999994</v>
      </c>
      <c r="T22">
        <v>183418.21116812999</v>
      </c>
      <c r="V22">
        <v>8678.0059999999994</v>
      </c>
      <c r="W22">
        <v>-45257.8392100735</v>
      </c>
    </row>
    <row r="23" spans="7:23" x14ac:dyDescent="0.25">
      <c r="G23">
        <v>8679.0059999999994</v>
      </c>
      <c r="H23">
        <v>637914.92411475105</v>
      </c>
      <c r="I23">
        <v>-188026.05822475001</v>
      </c>
      <c r="J23">
        <v>449888.86588999798</v>
      </c>
      <c r="K23">
        <v>-187974.487788917</v>
      </c>
      <c r="L23">
        <v>-0.25197543081225099</v>
      </c>
      <c r="N23">
        <v>8679.0059999999994</v>
      </c>
      <c r="O23">
        <v>301570.91573837801</v>
      </c>
      <c r="P23">
        <v>181463.06952738599</v>
      </c>
      <c r="Q23">
        <v>483033.98426576401</v>
      </c>
      <c r="S23">
        <v>8679.0059999999994</v>
      </c>
      <c r="T23">
        <v>183418.21316812999</v>
      </c>
      <c r="V23">
        <v>8679.0059999999994</v>
      </c>
      <c r="W23">
        <v>-45245.896210073501</v>
      </c>
    </row>
    <row r="24" spans="7:23" x14ac:dyDescent="0.25">
      <c r="G24">
        <v>8680.0059999999994</v>
      </c>
      <c r="H24">
        <v>637914.95411475096</v>
      </c>
      <c r="I24">
        <v>-187938.73822475001</v>
      </c>
      <c r="J24">
        <v>449976.21588999801</v>
      </c>
      <c r="K24">
        <v>-187887.167788917</v>
      </c>
      <c r="L24">
        <v>-0.25197543081225099</v>
      </c>
      <c r="N24">
        <v>8680.0059999999994</v>
      </c>
      <c r="O24">
        <v>301669.92973837798</v>
      </c>
      <c r="P24">
        <v>181483.97552738601</v>
      </c>
      <c r="Q24">
        <v>483153.90526576398</v>
      </c>
      <c r="S24">
        <v>8680.0059999999994</v>
      </c>
      <c r="T24">
        <v>183418.21316812999</v>
      </c>
      <c r="V24">
        <v>8680.0059999999994</v>
      </c>
      <c r="W24">
        <v>-45231.647210073497</v>
      </c>
    </row>
    <row r="25" spans="7:23" x14ac:dyDescent="0.25">
      <c r="G25">
        <v>8681.0059999999994</v>
      </c>
      <c r="H25">
        <v>637914.95411475096</v>
      </c>
      <c r="I25">
        <v>-187828.67822475001</v>
      </c>
      <c r="J25">
        <v>450086.27588999801</v>
      </c>
      <c r="K25">
        <v>-187777.107788917</v>
      </c>
      <c r="L25">
        <v>-0.25197543081225099</v>
      </c>
      <c r="N25">
        <v>8681.0059999999994</v>
      </c>
      <c r="O25">
        <v>301797.35573837801</v>
      </c>
      <c r="P25">
        <v>181504.88152738599</v>
      </c>
      <c r="Q25">
        <v>483302.23726576398</v>
      </c>
      <c r="S25">
        <v>8681.0059999999994</v>
      </c>
      <c r="T25">
        <v>183418.21316812999</v>
      </c>
      <c r="V25">
        <v>8681.0059999999994</v>
      </c>
      <c r="W25">
        <v>-45211.863210073498</v>
      </c>
    </row>
    <row r="26" spans="7:23" x14ac:dyDescent="0.25">
      <c r="G26">
        <v>8682.0059999999994</v>
      </c>
      <c r="H26">
        <v>637914.95411475096</v>
      </c>
      <c r="I26">
        <v>-187713.83822475001</v>
      </c>
      <c r="J26">
        <v>450201.11588999798</v>
      </c>
      <c r="K26">
        <v>-187662.267788917</v>
      </c>
      <c r="L26">
        <v>-0.25197543081225099</v>
      </c>
      <c r="N26">
        <v>8682.0059999999994</v>
      </c>
      <c r="O26">
        <v>301933.74373837799</v>
      </c>
      <c r="P26">
        <v>181525.78652738599</v>
      </c>
      <c r="Q26">
        <v>483459.53126576397</v>
      </c>
      <c r="S26">
        <v>8682.0059999999994</v>
      </c>
      <c r="T26">
        <v>183418.21316812999</v>
      </c>
      <c r="V26">
        <v>8682.0059999999994</v>
      </c>
      <c r="W26">
        <v>-45193.568210073499</v>
      </c>
    </row>
    <row r="27" spans="7:23" x14ac:dyDescent="0.25">
      <c r="G27">
        <v>8683.0059999999994</v>
      </c>
      <c r="H27">
        <v>637914.95411475096</v>
      </c>
      <c r="I27">
        <v>-187614.02822475001</v>
      </c>
      <c r="J27">
        <v>450300.92588999798</v>
      </c>
      <c r="K27">
        <v>-187562.457788917</v>
      </c>
      <c r="L27">
        <v>-0.25197543081225099</v>
      </c>
      <c r="N27">
        <v>8683.0059999999994</v>
      </c>
      <c r="O27">
        <v>302051.08973837801</v>
      </c>
      <c r="P27">
        <v>181546.69252738601</v>
      </c>
      <c r="Q27">
        <v>483597.78326576401</v>
      </c>
      <c r="S27">
        <v>8683.0059999999994</v>
      </c>
      <c r="T27">
        <v>183418.21316812999</v>
      </c>
      <c r="V27">
        <v>8683.0059999999994</v>
      </c>
      <c r="W27">
        <v>-45178.045210073498</v>
      </c>
    </row>
    <row r="28" spans="7:23" x14ac:dyDescent="0.25">
      <c r="G28">
        <v>8684.0059999999994</v>
      </c>
      <c r="H28">
        <v>637914.95411475096</v>
      </c>
      <c r="I28">
        <v>-187528.50822475</v>
      </c>
      <c r="J28">
        <v>450386.44588999799</v>
      </c>
      <c r="K28">
        <v>-187476.93778891701</v>
      </c>
      <c r="L28">
        <v>-0.25197543081225099</v>
      </c>
      <c r="N28">
        <v>8684.0059999999994</v>
      </c>
      <c r="O28">
        <v>302148.63673837797</v>
      </c>
      <c r="P28">
        <v>181567.598527386</v>
      </c>
      <c r="Q28">
        <v>483716.23626576399</v>
      </c>
      <c r="S28">
        <v>8684.0059999999994</v>
      </c>
      <c r="T28">
        <v>183418.21316812999</v>
      </c>
      <c r="V28">
        <v>8684.0059999999994</v>
      </c>
      <c r="W28">
        <v>-45162.6762100735</v>
      </c>
    </row>
    <row r="29" spans="7:23" x14ac:dyDescent="0.25">
      <c r="G29">
        <v>8685.0059999999994</v>
      </c>
      <c r="H29">
        <v>637914.95411475096</v>
      </c>
      <c r="I29">
        <v>-187452.91822475</v>
      </c>
      <c r="J29">
        <v>450462.03588999802</v>
      </c>
      <c r="K29">
        <v>-187401.34778891699</v>
      </c>
      <c r="L29">
        <v>-0.25197543081225099</v>
      </c>
      <c r="N29">
        <v>8685.0059999999994</v>
      </c>
      <c r="O29">
        <v>302230.28973837802</v>
      </c>
      <c r="P29">
        <v>181588.50452738599</v>
      </c>
      <c r="Q29">
        <v>483818.79426576401</v>
      </c>
      <c r="S29">
        <v>8685.0059999999994</v>
      </c>
      <c r="T29">
        <v>183418.21316812999</v>
      </c>
      <c r="V29">
        <v>8685.0059999999994</v>
      </c>
      <c r="W29">
        <v>-45149.009210073498</v>
      </c>
    </row>
    <row r="30" spans="7:23" x14ac:dyDescent="0.25">
      <c r="G30">
        <v>8686.0059999999994</v>
      </c>
      <c r="H30">
        <v>637914.95411475096</v>
      </c>
      <c r="I30">
        <v>-187388.88822475</v>
      </c>
      <c r="J30">
        <v>450526.06588999799</v>
      </c>
      <c r="K30">
        <v>-187337.31778891699</v>
      </c>
      <c r="L30">
        <v>-0.25197543081225099</v>
      </c>
      <c r="N30">
        <v>8686.0059999999994</v>
      </c>
      <c r="O30">
        <v>302297.16273837799</v>
      </c>
      <c r="P30">
        <v>181609.410527386</v>
      </c>
      <c r="Q30">
        <v>483906.57326576399</v>
      </c>
      <c r="S30">
        <v>8686.0059999999994</v>
      </c>
      <c r="T30">
        <v>183418.21316812999</v>
      </c>
      <c r="V30">
        <v>8686.0059999999994</v>
      </c>
      <c r="W30">
        <v>-45137.469210073497</v>
      </c>
    </row>
    <row r="31" spans="7:23" x14ac:dyDescent="0.25">
      <c r="G31">
        <v>8687.0059999999994</v>
      </c>
      <c r="H31">
        <v>637914.95411475096</v>
      </c>
      <c r="I31">
        <v>-187337.70822475001</v>
      </c>
      <c r="J31">
        <v>450577.24588999798</v>
      </c>
      <c r="K31">
        <v>-187285.94778891699</v>
      </c>
      <c r="L31">
        <v>-0.25197543081225099</v>
      </c>
      <c r="N31">
        <v>8687.0059999999994</v>
      </c>
      <c r="O31">
        <v>302350.08573837799</v>
      </c>
      <c r="P31">
        <v>181630.31652738599</v>
      </c>
      <c r="Q31">
        <v>483980.40226576402</v>
      </c>
      <c r="S31">
        <v>8687.0059999999994</v>
      </c>
      <c r="T31">
        <v>183418.21316812999</v>
      </c>
      <c r="V31">
        <v>8687.0059999999994</v>
      </c>
      <c r="W31">
        <v>-45125.2522100735</v>
      </c>
    </row>
    <row r="32" spans="7:23" x14ac:dyDescent="0.25">
      <c r="G32">
        <v>8688.0059999999994</v>
      </c>
      <c r="H32">
        <v>637914.95411475096</v>
      </c>
      <c r="I32">
        <v>-187295.56822474999</v>
      </c>
      <c r="J32">
        <v>450619.385889998</v>
      </c>
      <c r="K32">
        <v>-187243.80778891701</v>
      </c>
      <c r="L32">
        <v>-0.25197543081225099</v>
      </c>
      <c r="N32">
        <v>8688.0059999999994</v>
      </c>
      <c r="O32">
        <v>302398.56073837797</v>
      </c>
      <c r="P32">
        <v>181651.22252738601</v>
      </c>
      <c r="Q32">
        <v>484049.78326576401</v>
      </c>
      <c r="S32">
        <v>8688.0059999999994</v>
      </c>
      <c r="T32">
        <v>183418.21316812999</v>
      </c>
      <c r="V32">
        <v>8688.0059999999994</v>
      </c>
      <c r="W32">
        <v>-45112.075210073497</v>
      </c>
    </row>
    <row r="33" spans="7:23" x14ac:dyDescent="0.25">
      <c r="G33">
        <v>8689.0059999999994</v>
      </c>
      <c r="H33">
        <v>637914.95411475096</v>
      </c>
      <c r="I33">
        <v>-187258.79822475</v>
      </c>
      <c r="J33">
        <v>450656.15588999802</v>
      </c>
      <c r="K33">
        <v>-187207.03778891699</v>
      </c>
      <c r="L33">
        <v>-0.25197543081225099</v>
      </c>
      <c r="N33">
        <v>8689.0059999999994</v>
      </c>
      <c r="O33">
        <v>302440.83073837799</v>
      </c>
      <c r="P33">
        <v>181672.128527386</v>
      </c>
      <c r="Q33">
        <v>484112.95926576399</v>
      </c>
      <c r="S33">
        <v>8689.0059999999994</v>
      </c>
      <c r="T33">
        <v>183418.21316812999</v>
      </c>
      <c r="V33">
        <v>8689.0059999999994</v>
      </c>
      <c r="W33">
        <v>-45100.1272100735</v>
      </c>
    </row>
    <row r="34" spans="7:23" x14ac:dyDescent="0.25">
      <c r="G34">
        <v>8690.0059999999994</v>
      </c>
      <c r="H34">
        <v>637914.95411475096</v>
      </c>
      <c r="I34">
        <v>-187225.64822475001</v>
      </c>
      <c r="J34">
        <v>450689.30588999798</v>
      </c>
      <c r="K34">
        <v>-187173.887788917</v>
      </c>
      <c r="L34">
        <v>-0.25197543081225099</v>
      </c>
      <c r="N34">
        <v>8690.0059999999994</v>
      </c>
      <c r="O34">
        <v>302479.13773837802</v>
      </c>
      <c r="P34">
        <v>181693.03452738599</v>
      </c>
      <c r="Q34">
        <v>484172.17126576399</v>
      </c>
      <c r="S34">
        <v>8690.0059999999994</v>
      </c>
      <c r="T34">
        <v>183418.21316812999</v>
      </c>
      <c r="V34">
        <v>8690.0059999999994</v>
      </c>
      <c r="W34">
        <v>-45089.145210073497</v>
      </c>
    </row>
    <row r="35" spans="7:23" x14ac:dyDescent="0.25">
      <c r="G35">
        <v>8691.0059999999994</v>
      </c>
      <c r="H35">
        <v>637914.95411475096</v>
      </c>
      <c r="I35">
        <v>-187193.84822474999</v>
      </c>
      <c r="J35">
        <v>450721.10588999803</v>
      </c>
      <c r="K35">
        <v>-187142.08778891701</v>
      </c>
      <c r="L35">
        <v>-0.25197543081225099</v>
      </c>
      <c r="N35">
        <v>8691.0059999999994</v>
      </c>
      <c r="O35">
        <v>302516.21673837799</v>
      </c>
      <c r="P35">
        <v>181713.93952738601</v>
      </c>
      <c r="Q35">
        <v>484230.15626576397</v>
      </c>
      <c r="S35">
        <v>8691.0059999999994</v>
      </c>
      <c r="T35">
        <v>183418.21316812999</v>
      </c>
      <c r="V35">
        <v>8691.0059999999994</v>
      </c>
      <c r="W35">
        <v>-45076.994210073499</v>
      </c>
    </row>
    <row r="36" spans="7:23" x14ac:dyDescent="0.25">
      <c r="G36">
        <v>8692.0059999999994</v>
      </c>
      <c r="H36">
        <v>637914.95411475096</v>
      </c>
      <c r="I36">
        <v>-187163.90822474999</v>
      </c>
      <c r="J36">
        <v>450751.04588999797</v>
      </c>
      <c r="K36">
        <v>-187112.14778891701</v>
      </c>
      <c r="L36">
        <v>-0.25197543081225099</v>
      </c>
      <c r="N36">
        <v>8692.0059999999994</v>
      </c>
      <c r="O36">
        <v>302553.22573837801</v>
      </c>
      <c r="P36">
        <v>181734.845527386</v>
      </c>
      <c r="Q36">
        <v>484288.07126576401</v>
      </c>
      <c r="S36">
        <v>8692.0059999999994</v>
      </c>
      <c r="T36">
        <v>183418.21316812999</v>
      </c>
      <c r="V36">
        <v>8692.0059999999994</v>
      </c>
      <c r="W36">
        <v>-45063.968210073501</v>
      </c>
    </row>
    <row r="37" spans="7:23" x14ac:dyDescent="0.25">
      <c r="G37">
        <v>8693.0059999999994</v>
      </c>
      <c r="H37">
        <v>637914.95411475096</v>
      </c>
      <c r="I37">
        <v>-187132.04822475</v>
      </c>
      <c r="J37">
        <v>450782.90588999802</v>
      </c>
      <c r="K37">
        <v>-187080.28778891699</v>
      </c>
      <c r="L37">
        <v>-0.25197543081225099</v>
      </c>
      <c r="N37">
        <v>8693.0059999999994</v>
      </c>
      <c r="O37">
        <v>302595.29473837803</v>
      </c>
      <c r="P37">
        <v>181755.75152738599</v>
      </c>
      <c r="Q37">
        <v>484351.04626576399</v>
      </c>
      <c r="S37">
        <v>8693.0059999999994</v>
      </c>
      <c r="T37">
        <v>183418.21316812999</v>
      </c>
      <c r="V37">
        <v>8693.0059999999994</v>
      </c>
      <c r="W37">
        <v>-45049.465210073497</v>
      </c>
    </row>
    <row r="38" spans="7:23" x14ac:dyDescent="0.25">
      <c r="G38">
        <v>8694.0059999999994</v>
      </c>
      <c r="H38">
        <v>637914.95411475096</v>
      </c>
      <c r="I38">
        <v>-187090.16822475</v>
      </c>
      <c r="J38">
        <v>450824.78588999802</v>
      </c>
      <c r="K38">
        <v>-187038.40778891699</v>
      </c>
      <c r="L38">
        <v>-0.25197543081225099</v>
      </c>
      <c r="N38">
        <v>8694.0059999999994</v>
      </c>
      <c r="O38">
        <v>302652.43673837802</v>
      </c>
      <c r="P38">
        <v>181776.65752738601</v>
      </c>
      <c r="Q38">
        <v>484429.094265764</v>
      </c>
      <c r="S38">
        <v>8694.0059999999994</v>
      </c>
      <c r="T38">
        <v>183418.21316812999</v>
      </c>
      <c r="V38">
        <v>8694.0059999999994</v>
      </c>
      <c r="W38">
        <v>-45027.979210073499</v>
      </c>
    </row>
    <row r="39" spans="7:23" x14ac:dyDescent="0.25">
      <c r="G39">
        <v>8695.0059999999994</v>
      </c>
      <c r="H39">
        <v>637914.95411475096</v>
      </c>
      <c r="I39">
        <v>-187041.52822475001</v>
      </c>
      <c r="J39">
        <v>450873.42588999798</v>
      </c>
      <c r="K39">
        <v>-186989.767788917</v>
      </c>
      <c r="L39">
        <v>-0.25197543081225099</v>
      </c>
      <c r="N39">
        <v>8695.0059999999994</v>
      </c>
      <c r="O39">
        <v>302724.60873837798</v>
      </c>
      <c r="P39">
        <v>181797.563527386</v>
      </c>
      <c r="Q39">
        <v>484522.17226576398</v>
      </c>
      <c r="S39">
        <v>8695.0059999999994</v>
      </c>
      <c r="T39">
        <v>183418.21316812999</v>
      </c>
      <c r="V39">
        <v>8695.0059999999994</v>
      </c>
      <c r="W39">
        <v>-44998.977210073499</v>
      </c>
    </row>
    <row r="40" spans="7:23" x14ac:dyDescent="0.25">
      <c r="G40">
        <v>8696.0059999999994</v>
      </c>
      <c r="H40">
        <v>637915.28911475197</v>
      </c>
      <c r="I40">
        <v>-186988.65322475001</v>
      </c>
      <c r="J40">
        <v>450926.635889998</v>
      </c>
      <c r="K40">
        <v>-186936.892788917</v>
      </c>
      <c r="L40">
        <v>-0.25197543081225099</v>
      </c>
      <c r="N40">
        <v>8696.0059999999994</v>
      </c>
      <c r="O40">
        <v>302807.79673837801</v>
      </c>
      <c r="P40">
        <v>181818.46952738601</v>
      </c>
      <c r="Q40">
        <v>484626.26626576402</v>
      </c>
      <c r="S40">
        <v>8696.0059999999994</v>
      </c>
      <c r="T40">
        <v>183418.21316812999</v>
      </c>
      <c r="V40">
        <v>8696.0059999999994</v>
      </c>
      <c r="W40">
        <v>-44965.811210073502</v>
      </c>
    </row>
    <row r="41" spans="7:23" x14ac:dyDescent="0.25">
      <c r="G41">
        <v>8697.0059999999994</v>
      </c>
      <c r="H41">
        <v>637932.30111475196</v>
      </c>
      <c r="I41">
        <v>-186942.16522475</v>
      </c>
      <c r="J41">
        <v>450990.135889998</v>
      </c>
      <c r="K41">
        <v>-186890.40478891699</v>
      </c>
      <c r="L41">
        <v>-0.25197543081190998</v>
      </c>
      <c r="N41">
        <v>8697.0059999999994</v>
      </c>
      <c r="O41">
        <v>302890.682738378</v>
      </c>
      <c r="P41">
        <v>181839.375527386</v>
      </c>
      <c r="Q41">
        <v>484730.05826576398</v>
      </c>
      <c r="S41">
        <v>8697.0059999999994</v>
      </c>
      <c r="T41">
        <v>183418.71816813</v>
      </c>
      <c r="V41">
        <v>8697.0059999999994</v>
      </c>
      <c r="W41">
        <v>-44935.192210073503</v>
      </c>
    </row>
    <row r="42" spans="7:23" x14ac:dyDescent="0.25">
      <c r="G42">
        <v>8698.0059999999994</v>
      </c>
      <c r="H42">
        <v>637996.85111475096</v>
      </c>
      <c r="I42">
        <v>-186938.14522475001</v>
      </c>
      <c r="J42">
        <v>451058.705889998</v>
      </c>
      <c r="K42">
        <v>-186886.384788917</v>
      </c>
      <c r="L42">
        <v>-0.251975430811825</v>
      </c>
      <c r="N42">
        <v>8698.0059999999994</v>
      </c>
      <c r="O42">
        <v>302897.94273837801</v>
      </c>
      <c r="P42">
        <v>181860.28152738599</v>
      </c>
      <c r="Q42">
        <v>484758.22326576401</v>
      </c>
      <c r="S42">
        <v>8698.0059999999994</v>
      </c>
      <c r="T42">
        <v>183437.32516812999</v>
      </c>
      <c r="V42">
        <v>8698.0059999999994</v>
      </c>
      <c r="W42">
        <v>-44932.612210073501</v>
      </c>
    </row>
    <row r="43" spans="7:23" x14ac:dyDescent="0.25">
      <c r="G43">
        <v>8699.0059999999994</v>
      </c>
      <c r="H43">
        <v>638091.021114751</v>
      </c>
      <c r="I43">
        <v>-186961.14522475001</v>
      </c>
      <c r="J43">
        <v>451129.87588999799</v>
      </c>
      <c r="K43">
        <v>-186909.384788917</v>
      </c>
      <c r="L43">
        <v>-0.25197543081173901</v>
      </c>
      <c r="N43">
        <v>8699.0059999999994</v>
      </c>
      <c r="O43">
        <v>302890.64973837801</v>
      </c>
      <c r="P43">
        <v>181881.18652738599</v>
      </c>
      <c r="Q43">
        <v>484771.83726576401</v>
      </c>
      <c r="S43">
        <v>8699.0059999999994</v>
      </c>
      <c r="T43">
        <v>183460.08016812999</v>
      </c>
      <c r="V43">
        <v>8699.0059999999994</v>
      </c>
      <c r="W43">
        <v>-44947.094210073497</v>
      </c>
    </row>
    <row r="44" spans="7:23" x14ac:dyDescent="0.25">
      <c r="G44">
        <v>8700.0059999999994</v>
      </c>
      <c r="H44">
        <v>638180.798114751</v>
      </c>
      <c r="I44">
        <v>-186990.01222475001</v>
      </c>
      <c r="J44">
        <v>451190.78588999802</v>
      </c>
      <c r="K44">
        <v>-186938.251788917</v>
      </c>
      <c r="L44">
        <v>-0.25197543081225099</v>
      </c>
      <c r="N44">
        <v>8700.0059999999994</v>
      </c>
      <c r="O44">
        <v>302881.81673837802</v>
      </c>
      <c r="P44">
        <v>181902.092527386</v>
      </c>
      <c r="Q44">
        <v>484783.909265764</v>
      </c>
      <c r="S44">
        <v>8700.0059999999994</v>
      </c>
      <c r="T44">
        <v>183476.95016812999</v>
      </c>
      <c r="V44">
        <v>8700.0059999999994</v>
      </c>
      <c r="W44">
        <v>-44964.368210073502</v>
      </c>
    </row>
    <row r="45" spans="7:23" x14ac:dyDescent="0.25">
      <c r="G45">
        <v>8701.0059999999994</v>
      </c>
      <c r="H45">
        <v>638243.73911475099</v>
      </c>
      <c r="I45">
        <v>-186992.45322475</v>
      </c>
      <c r="J45">
        <v>451251.28588999802</v>
      </c>
      <c r="K45">
        <v>-186940.69278891699</v>
      </c>
      <c r="L45">
        <v>-0.25197543081185297</v>
      </c>
      <c r="N45">
        <v>8701.0059999999994</v>
      </c>
      <c r="O45">
        <v>302881.09873837797</v>
      </c>
      <c r="P45">
        <v>181922.99852738599</v>
      </c>
      <c r="Q45">
        <v>484804.09726576402</v>
      </c>
      <c r="S45">
        <v>8701.0059999999994</v>
      </c>
      <c r="T45">
        <v>183490.97416812999</v>
      </c>
      <c r="V45">
        <v>8701.0059999999994</v>
      </c>
      <c r="W45">
        <v>-44965.692210073503</v>
      </c>
    </row>
    <row r="46" spans="7:23" x14ac:dyDescent="0.25">
      <c r="G46">
        <v>8702.0059999999994</v>
      </c>
      <c r="H46">
        <v>638271.048114751</v>
      </c>
      <c r="I46">
        <v>-186958.25222475</v>
      </c>
      <c r="J46">
        <v>451312.79588999797</v>
      </c>
      <c r="K46">
        <v>-186906.49178891699</v>
      </c>
      <c r="L46">
        <v>-0.25197543081222301</v>
      </c>
      <c r="N46">
        <v>8702.0059999999994</v>
      </c>
      <c r="O46">
        <v>302929.498738378</v>
      </c>
      <c r="P46">
        <v>181943.90452738601</v>
      </c>
      <c r="Q46">
        <v>484873.40326576401</v>
      </c>
      <c r="S46">
        <v>8702.0059999999994</v>
      </c>
      <c r="T46">
        <v>183492.13116813</v>
      </c>
      <c r="V46">
        <v>8702.0059999999994</v>
      </c>
      <c r="W46">
        <v>-44949.501210073497</v>
      </c>
    </row>
    <row r="47" spans="7:23" x14ac:dyDescent="0.25">
      <c r="G47">
        <v>8703.0059999999994</v>
      </c>
      <c r="H47">
        <v>638273.53611475194</v>
      </c>
      <c r="I47">
        <v>-186894.11022475001</v>
      </c>
      <c r="J47">
        <v>451379.42588999798</v>
      </c>
      <c r="K47">
        <v>-186842.349788917</v>
      </c>
      <c r="L47">
        <v>-0.25197543081222301</v>
      </c>
      <c r="N47">
        <v>8703.0059999999994</v>
      </c>
      <c r="O47">
        <v>303019.45673837798</v>
      </c>
      <c r="P47">
        <v>181964.810527386</v>
      </c>
      <c r="Q47">
        <v>484984.26726576401</v>
      </c>
      <c r="S47">
        <v>8703.0059999999994</v>
      </c>
      <c r="T47">
        <v>183492.13116813</v>
      </c>
      <c r="V47">
        <v>8703.0059999999994</v>
      </c>
      <c r="W47">
        <v>-44923.988210073498</v>
      </c>
    </row>
    <row r="48" spans="7:23" x14ac:dyDescent="0.25">
      <c r="G48">
        <v>8704.0059999999994</v>
      </c>
      <c r="H48">
        <v>638273.54611475195</v>
      </c>
      <c r="I48">
        <v>-186808.89022475001</v>
      </c>
      <c r="J48">
        <v>451464.65588999802</v>
      </c>
      <c r="K48">
        <v>-186757.12978891699</v>
      </c>
      <c r="L48">
        <v>-0.25197543081222301</v>
      </c>
      <c r="N48">
        <v>8704.0059999999994</v>
      </c>
      <c r="O48">
        <v>303141.70973837801</v>
      </c>
      <c r="P48">
        <v>181985.71652738599</v>
      </c>
      <c r="Q48">
        <v>485127.42626576399</v>
      </c>
      <c r="S48">
        <v>8704.0059999999994</v>
      </c>
      <c r="T48">
        <v>183492.13116813</v>
      </c>
      <c r="V48">
        <v>8704.0059999999994</v>
      </c>
      <c r="W48">
        <v>-44894.624210073503</v>
      </c>
    </row>
    <row r="49" spans="7:23" x14ac:dyDescent="0.25">
      <c r="G49">
        <v>8705.0059999999994</v>
      </c>
      <c r="H49">
        <v>638273.54611475195</v>
      </c>
      <c r="I49">
        <v>-186698.18022474999</v>
      </c>
      <c r="J49">
        <v>451575.36588999798</v>
      </c>
      <c r="K49">
        <v>-186646.419788917</v>
      </c>
      <c r="L49">
        <v>-0.25197543081222301</v>
      </c>
      <c r="N49">
        <v>8705.0059999999994</v>
      </c>
      <c r="O49">
        <v>303296.06973837799</v>
      </c>
      <c r="P49">
        <v>182006.622527386</v>
      </c>
      <c r="Q49">
        <v>485302.692265764</v>
      </c>
      <c r="S49">
        <v>8705.0059999999994</v>
      </c>
      <c r="T49">
        <v>183492.13116813</v>
      </c>
      <c r="V49">
        <v>8705.0059999999994</v>
      </c>
      <c r="W49">
        <v>-44859.338210073503</v>
      </c>
    </row>
    <row r="50" spans="7:23" x14ac:dyDescent="0.25">
      <c r="G50">
        <v>8706.0059999999994</v>
      </c>
      <c r="H50">
        <v>638273.54611475195</v>
      </c>
      <c r="I50">
        <v>-186580.34022474999</v>
      </c>
      <c r="J50">
        <v>451693.205889998</v>
      </c>
      <c r="K50">
        <v>-186528.57978891701</v>
      </c>
      <c r="L50">
        <v>-0.25197543081222301</v>
      </c>
      <c r="N50">
        <v>8706.0059999999994</v>
      </c>
      <c r="O50">
        <v>303454.83273837803</v>
      </c>
      <c r="P50">
        <v>182027.52852738599</v>
      </c>
      <c r="Q50">
        <v>485482.36126576399</v>
      </c>
      <c r="S50">
        <v>8706.0059999999994</v>
      </c>
      <c r="T50">
        <v>183492.13116813</v>
      </c>
      <c r="V50">
        <v>8706.0059999999994</v>
      </c>
      <c r="W50">
        <v>-44828.331210073498</v>
      </c>
    </row>
    <row r="51" spans="7:23" x14ac:dyDescent="0.25">
      <c r="G51">
        <v>8707.0059999999994</v>
      </c>
      <c r="H51">
        <v>638273.54611475195</v>
      </c>
      <c r="I51">
        <v>-186484.26022475</v>
      </c>
      <c r="J51">
        <v>451789.28588999802</v>
      </c>
      <c r="K51">
        <v>-186432.49978891699</v>
      </c>
      <c r="L51">
        <v>-0.25197543081222301</v>
      </c>
      <c r="N51">
        <v>8707.0059999999994</v>
      </c>
      <c r="O51">
        <v>303572.66773837799</v>
      </c>
      <c r="P51">
        <v>182048.43452738601</v>
      </c>
      <c r="Q51">
        <v>485621.10126576398</v>
      </c>
      <c r="S51">
        <v>8707.0059999999994</v>
      </c>
      <c r="T51">
        <v>183492.13116813</v>
      </c>
      <c r="V51">
        <v>8707.0059999999994</v>
      </c>
      <c r="W51">
        <v>-44806.638210073499</v>
      </c>
    </row>
    <row r="52" spans="7:23" x14ac:dyDescent="0.25">
      <c r="G52">
        <v>8708.0059999999994</v>
      </c>
      <c r="H52">
        <v>638273.54611475195</v>
      </c>
      <c r="I52">
        <v>-186395.01022475</v>
      </c>
      <c r="J52">
        <v>451878.53588999802</v>
      </c>
      <c r="K52">
        <v>-186343.24978891699</v>
      </c>
      <c r="L52">
        <v>-0.25197543081222301</v>
      </c>
      <c r="N52">
        <v>8708.0059999999994</v>
      </c>
      <c r="O52">
        <v>303658.68973837799</v>
      </c>
      <c r="P52">
        <v>182069.33952738601</v>
      </c>
      <c r="Q52">
        <v>485728.02926576399</v>
      </c>
      <c r="S52">
        <v>8708.0059999999994</v>
      </c>
      <c r="T52">
        <v>183492.13116813</v>
      </c>
      <c r="V52">
        <v>8708.0059999999994</v>
      </c>
      <c r="W52">
        <v>-44789.679210073497</v>
      </c>
    </row>
    <row r="53" spans="7:23" x14ac:dyDescent="0.25">
      <c r="G53">
        <v>8709.0059999999994</v>
      </c>
      <c r="H53">
        <v>638273.54611475195</v>
      </c>
      <c r="I53">
        <v>-186322.04022475</v>
      </c>
      <c r="J53">
        <v>451951.50588999799</v>
      </c>
      <c r="K53">
        <v>-186270.27978891699</v>
      </c>
      <c r="L53">
        <v>-0.25197543081222301</v>
      </c>
      <c r="N53">
        <v>8709.0059999999994</v>
      </c>
      <c r="O53">
        <v>303727.71373837802</v>
      </c>
      <c r="P53">
        <v>182090.245527386</v>
      </c>
      <c r="Q53">
        <v>485817.96026576398</v>
      </c>
      <c r="S53">
        <v>8709.0059999999994</v>
      </c>
      <c r="T53">
        <v>183492.13116813</v>
      </c>
      <c r="V53">
        <v>8709.0059999999994</v>
      </c>
      <c r="W53">
        <v>-44776.273210073501</v>
      </c>
    </row>
    <row r="54" spans="7:23" x14ac:dyDescent="0.25">
      <c r="G54">
        <v>8710.0059999999994</v>
      </c>
      <c r="H54">
        <v>638273.54611475195</v>
      </c>
      <c r="I54">
        <v>-186255.18022474999</v>
      </c>
      <c r="J54">
        <v>452018.36588999798</v>
      </c>
      <c r="K54">
        <v>-186203.419788917</v>
      </c>
      <c r="L54">
        <v>-0.25197543081222301</v>
      </c>
      <c r="N54">
        <v>8710.0059999999994</v>
      </c>
      <c r="O54">
        <v>303789.112738378</v>
      </c>
      <c r="P54">
        <v>182111.15152738601</v>
      </c>
      <c r="Q54">
        <v>485900.26526576403</v>
      </c>
      <c r="S54">
        <v>8710.0059999999994</v>
      </c>
      <c r="T54">
        <v>183492.13116813</v>
      </c>
      <c r="V54">
        <v>8710.0059999999994</v>
      </c>
      <c r="W54">
        <v>-44765.0002100735</v>
      </c>
    </row>
    <row r="55" spans="7:23" x14ac:dyDescent="0.25">
      <c r="G55">
        <v>8711.0059999999994</v>
      </c>
      <c r="H55">
        <v>638273.54611475195</v>
      </c>
      <c r="I55">
        <v>-186199.87022474999</v>
      </c>
      <c r="J55">
        <v>452073.67588999798</v>
      </c>
      <c r="K55">
        <v>-186148.10978891701</v>
      </c>
      <c r="L55">
        <v>-0.25197543081222301</v>
      </c>
      <c r="N55">
        <v>8711.0059999999994</v>
      </c>
      <c r="O55">
        <v>303837.84273837798</v>
      </c>
      <c r="P55">
        <v>182132.057527386</v>
      </c>
      <c r="Q55">
        <v>485969.90026576398</v>
      </c>
      <c r="S55">
        <v>8711.0059999999994</v>
      </c>
      <c r="T55">
        <v>183492.13116813</v>
      </c>
      <c r="V55">
        <v>8711.0059999999994</v>
      </c>
      <c r="W55">
        <v>-44756.068210073499</v>
      </c>
    </row>
    <row r="56" spans="7:23" x14ac:dyDescent="0.25">
      <c r="G56">
        <v>8712.0059999999994</v>
      </c>
      <c r="H56">
        <v>638273.54611475195</v>
      </c>
      <c r="I56">
        <v>-186156.79022475</v>
      </c>
      <c r="J56">
        <v>452116.75588999799</v>
      </c>
      <c r="K56">
        <v>-186105.02978891699</v>
      </c>
      <c r="L56">
        <v>-0.25197543081222301</v>
      </c>
      <c r="N56">
        <v>8712.0059999999994</v>
      </c>
      <c r="O56">
        <v>303884.53873837797</v>
      </c>
      <c r="P56">
        <v>182152.96352738599</v>
      </c>
      <c r="Q56">
        <v>486037.50226576399</v>
      </c>
      <c r="S56">
        <v>8712.0059999999994</v>
      </c>
      <c r="T56">
        <v>183492.13116813</v>
      </c>
      <c r="V56">
        <v>8712.0059999999994</v>
      </c>
      <c r="W56">
        <v>-44749.304210073497</v>
      </c>
    </row>
    <row r="57" spans="7:23" x14ac:dyDescent="0.25">
      <c r="G57">
        <v>8713.0059999999994</v>
      </c>
      <c r="H57">
        <v>638273.54611475195</v>
      </c>
      <c r="I57">
        <v>-186121.62022474999</v>
      </c>
      <c r="J57">
        <v>452151.92588999798</v>
      </c>
      <c r="K57">
        <v>-186069.85978891701</v>
      </c>
      <c r="L57">
        <v>-0.25197543081222301</v>
      </c>
      <c r="N57">
        <v>8713.0059999999994</v>
      </c>
      <c r="O57">
        <v>303922.24073837802</v>
      </c>
      <c r="P57">
        <v>182173.86952738601</v>
      </c>
      <c r="Q57">
        <v>486096.110265764</v>
      </c>
      <c r="S57">
        <v>8713.0059999999994</v>
      </c>
      <c r="T57">
        <v>183492.13116813</v>
      </c>
      <c r="V57">
        <v>8713.0059999999994</v>
      </c>
      <c r="W57">
        <v>-44744.335210073499</v>
      </c>
    </row>
    <row r="58" spans="7:23" x14ac:dyDescent="0.25">
      <c r="G58">
        <v>8714.0059999999994</v>
      </c>
      <c r="H58">
        <v>638273.54611475195</v>
      </c>
      <c r="I58">
        <v>-186087.75022474999</v>
      </c>
      <c r="J58">
        <v>452185.79588999797</v>
      </c>
      <c r="K58">
        <v>-186035.98978891701</v>
      </c>
      <c r="L58">
        <v>-0.25197543081222301</v>
      </c>
      <c r="N58">
        <v>8714.0059999999994</v>
      </c>
      <c r="O58">
        <v>303958.27173837798</v>
      </c>
      <c r="P58">
        <v>182194.77552738599</v>
      </c>
      <c r="Q58">
        <v>486153.04726576398</v>
      </c>
      <c r="S58">
        <v>8714.0059999999994</v>
      </c>
      <c r="T58">
        <v>183492.13116813</v>
      </c>
      <c r="V58">
        <v>8714.0059999999994</v>
      </c>
      <c r="W58">
        <v>-44739.376210073497</v>
      </c>
    </row>
    <row r="59" spans="7:23" x14ac:dyDescent="0.25">
      <c r="G59">
        <v>8715.0059999999994</v>
      </c>
      <c r="H59">
        <v>638273.54611475195</v>
      </c>
      <c r="I59">
        <v>-186056.12022474999</v>
      </c>
      <c r="J59">
        <v>452217.42588999798</v>
      </c>
      <c r="K59">
        <v>-186004.35978891701</v>
      </c>
      <c r="L59">
        <v>-0.25197543081222301</v>
      </c>
      <c r="N59">
        <v>8715.0059999999994</v>
      </c>
      <c r="O59">
        <v>303991.07073837798</v>
      </c>
      <c r="P59">
        <v>182215.68152738601</v>
      </c>
      <c r="Q59">
        <v>486206.751265764</v>
      </c>
      <c r="S59">
        <v>8715.0059999999994</v>
      </c>
      <c r="T59">
        <v>183492.13116813</v>
      </c>
      <c r="V59">
        <v>8715.0059999999994</v>
      </c>
      <c r="W59">
        <v>-44734.242210073498</v>
      </c>
    </row>
    <row r="60" spans="7:23" x14ac:dyDescent="0.25">
      <c r="G60">
        <v>8716.0059999999994</v>
      </c>
      <c r="H60">
        <v>638273.54611475195</v>
      </c>
      <c r="I60">
        <v>-186025.07022475</v>
      </c>
      <c r="J60">
        <v>452248.47588999802</v>
      </c>
      <c r="K60">
        <v>-185973.30978891699</v>
      </c>
      <c r="L60">
        <v>-0.25197543081222301</v>
      </c>
      <c r="N60">
        <v>8716.0059999999994</v>
      </c>
      <c r="O60">
        <v>304023.54573837802</v>
      </c>
      <c r="P60">
        <v>182236.58652738601</v>
      </c>
      <c r="Q60">
        <v>486260.132265764</v>
      </c>
      <c r="S60">
        <v>8716.0059999999994</v>
      </c>
      <c r="T60">
        <v>183492.13116813</v>
      </c>
      <c r="V60">
        <v>8716.0059999999994</v>
      </c>
      <c r="W60">
        <v>-44729.8392100735</v>
      </c>
    </row>
    <row r="61" spans="7:23" x14ac:dyDescent="0.25">
      <c r="G61">
        <v>8717.0059999999994</v>
      </c>
      <c r="H61">
        <v>638273.54611475195</v>
      </c>
      <c r="I61">
        <v>-185991.56022474999</v>
      </c>
      <c r="J61">
        <v>452281.98588999797</v>
      </c>
      <c r="K61">
        <v>-185939.74978891699</v>
      </c>
      <c r="L61">
        <v>-0.25197543081222301</v>
      </c>
      <c r="N61">
        <v>8717.0059999999994</v>
      </c>
      <c r="O61">
        <v>304059.37173837802</v>
      </c>
      <c r="P61">
        <v>182257.492527386</v>
      </c>
      <c r="Q61">
        <v>486316.86426576402</v>
      </c>
      <c r="S61">
        <v>8717.0059999999994</v>
      </c>
      <c r="T61">
        <v>183492.13116813</v>
      </c>
      <c r="V61">
        <v>8717.0059999999994</v>
      </c>
      <c r="W61">
        <v>-44725.2842100735</v>
      </c>
    </row>
    <row r="62" spans="7:23" x14ac:dyDescent="0.25">
      <c r="G62">
        <v>8718.0059999999994</v>
      </c>
      <c r="H62">
        <v>638273.54611475195</v>
      </c>
      <c r="I62">
        <v>-185950.54022475</v>
      </c>
      <c r="J62">
        <v>452323.00588999799</v>
      </c>
      <c r="K62">
        <v>-185898.729788917</v>
      </c>
      <c r="L62">
        <v>-0.25197543081222301</v>
      </c>
      <c r="N62">
        <v>8718.0059999999994</v>
      </c>
      <c r="O62">
        <v>304103.62073837803</v>
      </c>
      <c r="P62">
        <v>182278.39852738599</v>
      </c>
      <c r="Q62">
        <v>486382.01926576399</v>
      </c>
      <c r="S62">
        <v>8718.0059999999994</v>
      </c>
      <c r="T62">
        <v>183492.13116813</v>
      </c>
      <c r="V62">
        <v>8718.0059999999994</v>
      </c>
      <c r="W62">
        <v>-44719.137210073503</v>
      </c>
    </row>
    <row r="63" spans="7:23" x14ac:dyDescent="0.25">
      <c r="G63">
        <v>8719.0059999999994</v>
      </c>
      <c r="H63">
        <v>638273.54611475195</v>
      </c>
      <c r="I63">
        <v>-185903.20022475001</v>
      </c>
      <c r="J63">
        <v>452370.34588999802</v>
      </c>
      <c r="K63">
        <v>-185851.30978891699</v>
      </c>
      <c r="L63">
        <v>-0.25197543081222301</v>
      </c>
      <c r="N63">
        <v>8719.0059999999994</v>
      </c>
      <c r="O63">
        <v>304154.70273837802</v>
      </c>
      <c r="P63">
        <v>182299.304527386</v>
      </c>
      <c r="Q63">
        <v>486454.007265764</v>
      </c>
      <c r="S63">
        <v>8719.0059999999994</v>
      </c>
      <c r="T63">
        <v>183492.13116813</v>
      </c>
      <c r="V63">
        <v>8719.0059999999994</v>
      </c>
      <c r="W63">
        <v>-44710.4302100735</v>
      </c>
    </row>
    <row r="64" spans="7:23" x14ac:dyDescent="0.25">
      <c r="G64">
        <v>8720.0059999999994</v>
      </c>
      <c r="H64">
        <v>638273.57611475105</v>
      </c>
      <c r="I64">
        <v>-185842.12022474999</v>
      </c>
      <c r="J64">
        <v>452431.455889998</v>
      </c>
      <c r="K64">
        <v>-185790.229788917</v>
      </c>
      <c r="L64">
        <v>-0.25197543081222301</v>
      </c>
      <c r="N64">
        <v>8720.0059999999994</v>
      </c>
      <c r="O64">
        <v>304220.86373837799</v>
      </c>
      <c r="P64">
        <v>182320.21052738599</v>
      </c>
      <c r="Q64">
        <v>486541.07426576398</v>
      </c>
      <c r="S64">
        <v>8720.0059999999994</v>
      </c>
      <c r="T64">
        <v>183492.13116813</v>
      </c>
      <c r="V64">
        <v>8720.0059999999994</v>
      </c>
      <c r="W64">
        <v>-44697.604210073499</v>
      </c>
    </row>
    <row r="65" spans="7:23" x14ac:dyDescent="0.25">
      <c r="G65">
        <v>8721.0059999999994</v>
      </c>
      <c r="H65">
        <v>638276.82411475095</v>
      </c>
      <c r="I65">
        <v>-185778.46822474999</v>
      </c>
      <c r="J65">
        <v>452498.35588999803</v>
      </c>
      <c r="K65">
        <v>-185726.577788917</v>
      </c>
      <c r="L65">
        <v>-0.25197543081222301</v>
      </c>
      <c r="N65">
        <v>8721.0059999999994</v>
      </c>
      <c r="O65">
        <v>304290.38073837798</v>
      </c>
      <c r="P65">
        <v>182341.11652738601</v>
      </c>
      <c r="Q65">
        <v>486631.49726576399</v>
      </c>
      <c r="S65">
        <v>8721.0059999999994</v>
      </c>
      <c r="T65">
        <v>183492.13116813</v>
      </c>
      <c r="V65">
        <v>8721.0059999999994</v>
      </c>
      <c r="W65">
        <v>-44684.321210073504</v>
      </c>
    </row>
    <row r="66" spans="7:23" x14ac:dyDescent="0.25">
      <c r="G66">
        <v>8722.0059999999994</v>
      </c>
      <c r="H66">
        <v>638289.51111475099</v>
      </c>
      <c r="I66">
        <v>-185727.94522475</v>
      </c>
      <c r="J66">
        <v>452561.56588999799</v>
      </c>
      <c r="K66">
        <v>-185676.05478891701</v>
      </c>
      <c r="L66">
        <v>-0.25197543081190998</v>
      </c>
      <c r="N66">
        <v>8722.0059999999994</v>
      </c>
      <c r="O66">
        <v>304345.55973837798</v>
      </c>
      <c r="P66">
        <v>182362.022527386</v>
      </c>
      <c r="Q66">
        <v>486707.58126576402</v>
      </c>
      <c r="S66">
        <v>8722.0059999999994</v>
      </c>
      <c r="T66">
        <v>183492.17416813</v>
      </c>
      <c r="V66">
        <v>8722.0059999999994</v>
      </c>
      <c r="W66">
        <v>-44673.9982100735</v>
      </c>
    </row>
    <row r="67" spans="7:23" x14ac:dyDescent="0.25">
      <c r="G67">
        <v>8723.0059999999994</v>
      </c>
      <c r="H67">
        <v>638310.13611475099</v>
      </c>
      <c r="I67">
        <v>-185684.41022475</v>
      </c>
      <c r="J67">
        <v>452625.72588999802</v>
      </c>
      <c r="K67">
        <v>-185632.51978891701</v>
      </c>
      <c r="L67">
        <v>-0.25197543081193802</v>
      </c>
      <c r="N67">
        <v>8723.0059999999994</v>
      </c>
      <c r="O67">
        <v>304393.13873837801</v>
      </c>
      <c r="P67">
        <v>182382.92852738599</v>
      </c>
      <c r="Q67">
        <v>486776.06626576401</v>
      </c>
      <c r="S67">
        <v>8723.0059999999994</v>
      </c>
      <c r="T67">
        <v>183492.41816813001</v>
      </c>
      <c r="V67">
        <v>8723.0059999999994</v>
      </c>
      <c r="W67">
        <v>-44664.903210073498</v>
      </c>
    </row>
    <row r="68" spans="7:23" x14ac:dyDescent="0.25">
      <c r="G68">
        <v>8724.0059999999994</v>
      </c>
      <c r="H68">
        <v>638332.05411475105</v>
      </c>
      <c r="I68">
        <v>-185643.13822475</v>
      </c>
      <c r="J68">
        <v>452688.91588999802</v>
      </c>
      <c r="K68">
        <v>-185591.24778891701</v>
      </c>
      <c r="L68">
        <v>-0.25197543081188201</v>
      </c>
      <c r="N68">
        <v>8724.0059999999994</v>
      </c>
      <c r="O68">
        <v>304438.89073837799</v>
      </c>
      <c r="P68">
        <v>182403.834527386</v>
      </c>
      <c r="Q68">
        <v>486842.724265764</v>
      </c>
      <c r="S68">
        <v>8724.0059999999994</v>
      </c>
      <c r="T68">
        <v>183492.79116813</v>
      </c>
      <c r="V68">
        <v>8724.0059999999994</v>
      </c>
      <c r="W68">
        <v>-44656.005210073497</v>
      </c>
    </row>
    <row r="69" spans="7:23" x14ac:dyDescent="0.25">
      <c r="G69">
        <v>8725.0059999999994</v>
      </c>
      <c r="H69">
        <v>638350.63511475106</v>
      </c>
      <c r="I69">
        <v>-185595.06922475001</v>
      </c>
      <c r="J69">
        <v>452755.56588999799</v>
      </c>
      <c r="K69">
        <v>-185543.17878891699</v>
      </c>
      <c r="L69">
        <v>-0.25197543081173901</v>
      </c>
      <c r="N69">
        <v>8725.0059999999994</v>
      </c>
      <c r="O69">
        <v>304492.32073837798</v>
      </c>
      <c r="P69">
        <v>182424.739527386</v>
      </c>
      <c r="Q69">
        <v>486917.06026576401</v>
      </c>
      <c r="S69">
        <v>8725.0059999999994</v>
      </c>
      <c r="T69">
        <v>183492.89816812999</v>
      </c>
      <c r="V69">
        <v>8725.0059999999994</v>
      </c>
      <c r="W69">
        <v>-44644.922210073499</v>
      </c>
    </row>
    <row r="70" spans="7:23" x14ac:dyDescent="0.25">
      <c r="G70">
        <v>8726.0059999999994</v>
      </c>
      <c r="H70">
        <v>638361.04211475095</v>
      </c>
      <c r="I70">
        <v>-185542.08622475</v>
      </c>
      <c r="J70">
        <v>452818.955889998</v>
      </c>
      <c r="K70">
        <v>-185490.19578891699</v>
      </c>
      <c r="L70">
        <v>-0.25197543081225099</v>
      </c>
      <c r="N70">
        <v>8726.0059999999994</v>
      </c>
      <c r="O70">
        <v>304551.530738378</v>
      </c>
      <c r="P70">
        <v>182445.64552738599</v>
      </c>
      <c r="Q70">
        <v>486997.17626576399</v>
      </c>
      <c r="S70">
        <v>8726.0059999999994</v>
      </c>
      <c r="T70">
        <v>183492.95316813001</v>
      </c>
      <c r="V70">
        <v>8726.0059999999994</v>
      </c>
      <c r="W70">
        <v>-44631.942210073503</v>
      </c>
    </row>
    <row r="71" spans="7:23" x14ac:dyDescent="0.25">
      <c r="G71">
        <v>8727.0059999999994</v>
      </c>
      <c r="H71">
        <v>638362.52311475098</v>
      </c>
      <c r="I71">
        <v>-185466.07722475001</v>
      </c>
      <c r="J71">
        <v>452896.44588999799</v>
      </c>
      <c r="K71">
        <v>-185414.186788917</v>
      </c>
      <c r="L71">
        <v>-0.25197543081225099</v>
      </c>
      <c r="N71">
        <v>8727.0059999999994</v>
      </c>
      <c r="O71">
        <v>304635.73373837798</v>
      </c>
      <c r="P71">
        <v>182466.55152738601</v>
      </c>
      <c r="Q71">
        <v>487102.28526576399</v>
      </c>
      <c r="S71">
        <v>8727.0059999999994</v>
      </c>
      <c r="T71">
        <v>183492.95316813001</v>
      </c>
      <c r="V71">
        <v>8727.0059999999994</v>
      </c>
      <c r="W71">
        <v>-44610.513210073499</v>
      </c>
    </row>
    <row r="72" spans="7:23" x14ac:dyDescent="0.25">
      <c r="G72">
        <v>8728.0059999999994</v>
      </c>
      <c r="H72">
        <v>638362.53311475099</v>
      </c>
      <c r="I72">
        <v>-185381.37722475</v>
      </c>
      <c r="J72">
        <v>452981.15588999802</v>
      </c>
      <c r="K72">
        <v>-185329.48678891701</v>
      </c>
      <c r="L72">
        <v>-0.25197543081225099</v>
      </c>
      <c r="N72">
        <v>8728.0059999999994</v>
      </c>
      <c r="O72">
        <v>304735.06273837801</v>
      </c>
      <c r="P72">
        <v>182487.457527386</v>
      </c>
      <c r="Q72">
        <v>487222.52026576397</v>
      </c>
      <c r="S72">
        <v>8728.0059999999994</v>
      </c>
      <c r="T72">
        <v>183492.95316813001</v>
      </c>
      <c r="V72">
        <v>8728.0059999999994</v>
      </c>
      <c r="W72">
        <v>-44585.203210073501</v>
      </c>
    </row>
    <row r="73" spans="7:23" x14ac:dyDescent="0.25">
      <c r="G73">
        <v>8729.0059999999994</v>
      </c>
      <c r="H73">
        <v>638362.53311475099</v>
      </c>
      <c r="I73">
        <v>-185272.58722474999</v>
      </c>
      <c r="J73">
        <v>453089.94588999799</v>
      </c>
      <c r="K73">
        <v>-185220.696788917</v>
      </c>
      <c r="L73">
        <v>-0.25197543081225099</v>
      </c>
      <c r="N73">
        <v>8729.0059999999994</v>
      </c>
      <c r="O73">
        <v>304869.13473837799</v>
      </c>
      <c r="P73">
        <v>182508.36352738601</v>
      </c>
      <c r="Q73">
        <v>487377.49826576398</v>
      </c>
      <c r="S73">
        <v>8729.0059999999994</v>
      </c>
      <c r="T73">
        <v>183492.95316813001</v>
      </c>
      <c r="V73">
        <v>8729.0059999999994</v>
      </c>
      <c r="W73">
        <v>-44550.965210073497</v>
      </c>
    </row>
    <row r="74" spans="7:23" x14ac:dyDescent="0.25">
      <c r="G74">
        <v>8730.0059999999994</v>
      </c>
      <c r="H74">
        <v>638362.53311475099</v>
      </c>
      <c r="I74">
        <v>-185166.76722474999</v>
      </c>
      <c r="J74">
        <v>453195.765889998</v>
      </c>
      <c r="K74">
        <v>-185114.876788917</v>
      </c>
      <c r="L74">
        <v>-0.25197543081225099</v>
      </c>
      <c r="N74">
        <v>8730.0059999999994</v>
      </c>
      <c r="O74">
        <v>304996.704738378</v>
      </c>
      <c r="P74">
        <v>182529.269527386</v>
      </c>
      <c r="Q74">
        <v>487525.974265764</v>
      </c>
      <c r="S74">
        <v>8730.0059999999994</v>
      </c>
      <c r="T74">
        <v>183492.95316813001</v>
      </c>
      <c r="V74">
        <v>8730.0059999999994</v>
      </c>
      <c r="W74">
        <v>-44519.146210073501</v>
      </c>
    </row>
    <row r="75" spans="7:23" x14ac:dyDescent="0.25">
      <c r="G75">
        <v>8731.0059999999994</v>
      </c>
      <c r="H75">
        <v>638362.53311475099</v>
      </c>
      <c r="I75">
        <v>-185077.95722474999</v>
      </c>
      <c r="J75">
        <v>453284.575889998</v>
      </c>
      <c r="K75">
        <v>-185026.066788917</v>
      </c>
      <c r="L75">
        <v>-0.25197543081225099</v>
      </c>
      <c r="N75">
        <v>8731.0059999999994</v>
      </c>
      <c r="O75">
        <v>305102.37673837802</v>
      </c>
      <c r="P75">
        <v>182550.17552738599</v>
      </c>
      <c r="Q75">
        <v>487652.55226576398</v>
      </c>
      <c r="S75">
        <v>8731.0059999999994</v>
      </c>
      <c r="T75">
        <v>183492.95316813001</v>
      </c>
      <c r="V75">
        <v>8731.0059999999994</v>
      </c>
      <c r="W75">
        <v>-44493.956210073498</v>
      </c>
    </row>
    <row r="76" spans="7:23" x14ac:dyDescent="0.25">
      <c r="G76">
        <v>8732.0059999999994</v>
      </c>
      <c r="H76">
        <v>638362.53311475099</v>
      </c>
      <c r="I76">
        <v>-184988.35722475001</v>
      </c>
      <c r="J76">
        <v>453374.17588999798</v>
      </c>
      <c r="K76">
        <v>-184936.46678891699</v>
      </c>
      <c r="L76">
        <v>-0.25197543081225099</v>
      </c>
      <c r="N76">
        <v>8732.0059999999994</v>
      </c>
      <c r="O76">
        <v>305208.78873837797</v>
      </c>
      <c r="P76">
        <v>182571.08152738601</v>
      </c>
      <c r="Q76">
        <v>487779.87026576401</v>
      </c>
      <c r="S76">
        <v>8732.0059999999994</v>
      </c>
      <c r="T76">
        <v>183492.95316813001</v>
      </c>
      <c r="V76">
        <v>8732.0059999999994</v>
      </c>
      <c r="W76">
        <v>-44473.1062100735</v>
      </c>
    </row>
    <row r="77" spans="7:23" x14ac:dyDescent="0.25">
      <c r="G77">
        <v>8733.0059999999994</v>
      </c>
      <c r="H77">
        <v>638362.53311475099</v>
      </c>
      <c r="I77">
        <v>-184904.54722474999</v>
      </c>
      <c r="J77">
        <v>453457.98588999797</v>
      </c>
      <c r="K77">
        <v>-184852.656788917</v>
      </c>
      <c r="L77">
        <v>-0.25197543081225099</v>
      </c>
      <c r="N77">
        <v>8733.0059999999994</v>
      </c>
      <c r="O77">
        <v>305308.63673837797</v>
      </c>
      <c r="P77">
        <v>182591.98652738601</v>
      </c>
      <c r="Q77">
        <v>487900.62426576403</v>
      </c>
      <c r="S77">
        <v>8733.0059999999994</v>
      </c>
      <c r="T77">
        <v>183492.95316813001</v>
      </c>
      <c r="V77">
        <v>8733.0059999999994</v>
      </c>
      <c r="W77">
        <v>-44453.390210073499</v>
      </c>
    </row>
    <row r="78" spans="7:23" x14ac:dyDescent="0.25">
      <c r="G78">
        <v>8734.0059999999994</v>
      </c>
      <c r="H78">
        <v>638362.53311475099</v>
      </c>
      <c r="I78">
        <v>-184833.53722475001</v>
      </c>
      <c r="J78">
        <v>453528.99588999798</v>
      </c>
      <c r="K78">
        <v>-184781.64678891699</v>
      </c>
      <c r="L78">
        <v>-0.25197543081225099</v>
      </c>
      <c r="N78">
        <v>8734.0059999999994</v>
      </c>
      <c r="O78">
        <v>305387.46173837798</v>
      </c>
      <c r="P78">
        <v>182612.89252738599</v>
      </c>
      <c r="Q78">
        <v>488000.35426576401</v>
      </c>
      <c r="S78">
        <v>8734.0059999999994</v>
      </c>
      <c r="T78">
        <v>183492.95316813001</v>
      </c>
      <c r="V78">
        <v>8734.0059999999994</v>
      </c>
      <c r="W78">
        <v>-44438.7522100735</v>
      </c>
    </row>
    <row r="79" spans="7:23" x14ac:dyDescent="0.25">
      <c r="G79">
        <v>8735.0059999999994</v>
      </c>
      <c r="H79">
        <v>638362.53311475099</v>
      </c>
      <c r="I79">
        <v>-184774.88722475001</v>
      </c>
      <c r="J79">
        <v>453587.64588999801</v>
      </c>
      <c r="K79">
        <v>-184722.99678891699</v>
      </c>
      <c r="L79">
        <v>-0.25197543081225099</v>
      </c>
      <c r="N79">
        <v>8735.0059999999994</v>
      </c>
      <c r="O79">
        <v>305450.90273837798</v>
      </c>
      <c r="P79">
        <v>182633.79852738601</v>
      </c>
      <c r="Q79">
        <v>488084.702265764</v>
      </c>
      <c r="S79">
        <v>8735.0059999999994</v>
      </c>
      <c r="T79">
        <v>183492.95316813001</v>
      </c>
      <c r="V79">
        <v>8735.0059999999994</v>
      </c>
      <c r="W79">
        <v>-44426.622210073503</v>
      </c>
    </row>
    <row r="80" spans="7:23" x14ac:dyDescent="0.25">
      <c r="G80">
        <v>8736.0059999999994</v>
      </c>
      <c r="H80">
        <v>638362.53311475099</v>
      </c>
      <c r="I80">
        <v>-184730.15722475</v>
      </c>
      <c r="J80">
        <v>453632.37588999799</v>
      </c>
      <c r="K80">
        <v>-184678.26678891701</v>
      </c>
      <c r="L80">
        <v>-0.25197543081225099</v>
      </c>
      <c r="N80">
        <v>8736.0059999999994</v>
      </c>
      <c r="O80">
        <v>305501.08973837801</v>
      </c>
      <c r="P80">
        <v>182654.704527386</v>
      </c>
      <c r="Q80">
        <v>488155.79426576401</v>
      </c>
      <c r="S80">
        <v>8736.0059999999994</v>
      </c>
      <c r="T80">
        <v>183492.95316813001</v>
      </c>
      <c r="V80">
        <v>8736.0059999999994</v>
      </c>
      <c r="W80">
        <v>-44418.065210073502</v>
      </c>
    </row>
    <row r="81" spans="7:23" x14ac:dyDescent="0.25">
      <c r="G81">
        <v>8737.0059999999994</v>
      </c>
      <c r="H81">
        <v>638362.53311475099</v>
      </c>
      <c r="I81">
        <v>-184693.61722474999</v>
      </c>
      <c r="J81">
        <v>453668.91588999802</v>
      </c>
      <c r="K81">
        <v>-184641.726788917</v>
      </c>
      <c r="L81">
        <v>-0.25197543081225099</v>
      </c>
      <c r="N81">
        <v>8737.0059999999994</v>
      </c>
      <c r="O81">
        <v>305540.28773837799</v>
      </c>
      <c r="P81">
        <v>182675.61052738599</v>
      </c>
      <c r="Q81">
        <v>488215.898265764</v>
      </c>
      <c r="S81">
        <v>8737.0059999999994</v>
      </c>
      <c r="T81">
        <v>183492.95316813001</v>
      </c>
      <c r="V81">
        <v>8737.0059999999994</v>
      </c>
      <c r="W81">
        <v>-44411.329210073498</v>
      </c>
    </row>
    <row r="82" spans="7:23" x14ac:dyDescent="0.25">
      <c r="G82">
        <v>8738.0059999999994</v>
      </c>
      <c r="H82">
        <v>638362.53311475099</v>
      </c>
      <c r="I82">
        <v>-184660.07722475001</v>
      </c>
      <c r="J82">
        <v>453702.455889998</v>
      </c>
      <c r="K82">
        <v>-184608.186788917</v>
      </c>
      <c r="L82">
        <v>-0.25197543081225099</v>
      </c>
      <c r="N82">
        <v>8738.0059999999994</v>
      </c>
      <c r="O82">
        <v>305575.36673837801</v>
      </c>
      <c r="P82">
        <v>182696.516527386</v>
      </c>
      <c r="Q82">
        <v>488271.88326576399</v>
      </c>
      <c r="S82">
        <v>8738.0059999999994</v>
      </c>
      <c r="T82">
        <v>183492.95316813001</v>
      </c>
      <c r="V82">
        <v>8738.0059999999994</v>
      </c>
      <c r="W82">
        <v>-44405.088210073503</v>
      </c>
    </row>
    <row r="83" spans="7:23" x14ac:dyDescent="0.25">
      <c r="G83">
        <v>8739.0059999999994</v>
      </c>
      <c r="H83">
        <v>638362.53311475099</v>
      </c>
      <c r="I83">
        <v>-184630.55722474999</v>
      </c>
      <c r="J83">
        <v>453731.97588999802</v>
      </c>
      <c r="K83">
        <v>-184578.66678891701</v>
      </c>
      <c r="L83">
        <v>-0.25197543081225099</v>
      </c>
      <c r="N83">
        <v>8739.0059999999994</v>
      </c>
      <c r="O83">
        <v>305606.24173837801</v>
      </c>
      <c r="P83">
        <v>182717.42252738599</v>
      </c>
      <c r="Q83">
        <v>488323.664265764</v>
      </c>
      <c r="S83">
        <v>8739.0059999999994</v>
      </c>
      <c r="T83">
        <v>183492.95316813001</v>
      </c>
      <c r="V83">
        <v>8739.0059999999994</v>
      </c>
      <c r="W83">
        <v>-44399.617210073498</v>
      </c>
    </row>
    <row r="84" spans="7:23" x14ac:dyDescent="0.25">
      <c r="G84">
        <v>8740.0059999999994</v>
      </c>
      <c r="H84">
        <v>638362.53311475099</v>
      </c>
      <c r="I84">
        <v>-184601.59722475</v>
      </c>
      <c r="J84">
        <v>453760.93588999799</v>
      </c>
      <c r="K84">
        <v>-184549.70678891701</v>
      </c>
      <c r="L84">
        <v>-0.25197543081225099</v>
      </c>
      <c r="N84">
        <v>8740.0059999999994</v>
      </c>
      <c r="O84">
        <v>305638.04273837799</v>
      </c>
      <c r="P84">
        <v>182738.32852738601</v>
      </c>
      <c r="Q84">
        <v>488376.371265764</v>
      </c>
      <c r="S84">
        <v>8740.0059999999994</v>
      </c>
      <c r="T84">
        <v>183492.95316813001</v>
      </c>
      <c r="V84">
        <v>8740.0059999999994</v>
      </c>
      <c r="W84">
        <v>-44394.338210073503</v>
      </c>
    </row>
    <row r="85" spans="7:23" x14ac:dyDescent="0.25">
      <c r="G85">
        <v>8741.0059999999994</v>
      </c>
      <c r="H85">
        <v>638362.53311475099</v>
      </c>
      <c r="I85">
        <v>-184570.69722475001</v>
      </c>
      <c r="J85">
        <v>453791.83588999801</v>
      </c>
      <c r="K85">
        <v>-184518.80678891699</v>
      </c>
      <c r="L85">
        <v>-0.25197543081225099</v>
      </c>
      <c r="N85">
        <v>8741.0059999999994</v>
      </c>
      <c r="O85">
        <v>305672.45873837802</v>
      </c>
      <c r="P85">
        <v>182759.234527386</v>
      </c>
      <c r="Q85">
        <v>488431.692265764</v>
      </c>
      <c r="S85">
        <v>8741.0059999999994</v>
      </c>
      <c r="T85">
        <v>183492.95316813001</v>
      </c>
      <c r="V85">
        <v>8741.0059999999994</v>
      </c>
      <c r="W85">
        <v>-44388.694210073503</v>
      </c>
    </row>
    <row r="86" spans="7:23" x14ac:dyDescent="0.25">
      <c r="G86">
        <v>8742.0059999999994</v>
      </c>
      <c r="H86">
        <v>638362.53311475099</v>
      </c>
      <c r="I86">
        <v>-184533.78722475001</v>
      </c>
      <c r="J86">
        <v>453828.74588999798</v>
      </c>
      <c r="K86">
        <v>-184481.89678891699</v>
      </c>
      <c r="L86">
        <v>-0.25197543081225099</v>
      </c>
      <c r="N86">
        <v>8742.0059999999994</v>
      </c>
      <c r="O86">
        <v>305714.99973837798</v>
      </c>
      <c r="P86">
        <v>182780.139527386</v>
      </c>
      <c r="Q86">
        <v>488495.14026576403</v>
      </c>
      <c r="S86">
        <v>8742.0059999999994</v>
      </c>
      <c r="T86">
        <v>183492.95316813001</v>
      </c>
      <c r="V86">
        <v>8742.0059999999994</v>
      </c>
      <c r="W86">
        <v>-44381.893210073496</v>
      </c>
    </row>
    <row r="87" spans="7:23" x14ac:dyDescent="0.25">
      <c r="G87">
        <v>8743.0059999999994</v>
      </c>
      <c r="H87">
        <v>638362.53311475099</v>
      </c>
      <c r="I87">
        <v>-184488.55722474999</v>
      </c>
      <c r="J87">
        <v>453873.97588999802</v>
      </c>
      <c r="K87">
        <v>-184436.66678891701</v>
      </c>
      <c r="L87">
        <v>-0.25197543081225099</v>
      </c>
      <c r="N87">
        <v>8743.0059999999994</v>
      </c>
      <c r="O87">
        <v>305768.91873837798</v>
      </c>
      <c r="P87">
        <v>182801.04552738601</v>
      </c>
      <c r="Q87">
        <v>488569.96526576398</v>
      </c>
      <c r="S87">
        <v>8743.0059999999994</v>
      </c>
      <c r="T87">
        <v>183492.95316813001</v>
      </c>
      <c r="V87">
        <v>8743.0059999999994</v>
      </c>
      <c r="W87">
        <v>-44373.278210073498</v>
      </c>
    </row>
    <row r="88" spans="7:23" x14ac:dyDescent="0.25">
      <c r="G88">
        <v>8744.0059999999994</v>
      </c>
      <c r="H88">
        <v>638362.53311475099</v>
      </c>
      <c r="I88">
        <v>-184432.22722475001</v>
      </c>
      <c r="J88">
        <v>453930.30588999798</v>
      </c>
      <c r="K88">
        <v>-184380.33678891699</v>
      </c>
      <c r="L88">
        <v>-0.25197543081225099</v>
      </c>
      <c r="N88">
        <v>8744.0059999999994</v>
      </c>
      <c r="O88">
        <v>305838.12973837799</v>
      </c>
      <c r="P88">
        <v>182821.951527386</v>
      </c>
      <c r="Q88">
        <v>488660.08126576402</v>
      </c>
      <c r="S88">
        <v>8744.0059999999994</v>
      </c>
      <c r="T88">
        <v>183492.95316813001</v>
      </c>
      <c r="V88">
        <v>8744.0059999999994</v>
      </c>
      <c r="W88">
        <v>-44360.846210073498</v>
      </c>
    </row>
    <row r="89" spans="7:23" x14ac:dyDescent="0.25">
      <c r="G89">
        <v>8745.0059999999994</v>
      </c>
      <c r="H89">
        <v>638362.53311475099</v>
      </c>
      <c r="I89">
        <v>-184372.91722475001</v>
      </c>
      <c r="J89">
        <v>453989.61588999798</v>
      </c>
      <c r="K89">
        <v>-184321.02678891699</v>
      </c>
      <c r="L89">
        <v>-0.25197543081225099</v>
      </c>
      <c r="N89">
        <v>8745.0059999999994</v>
      </c>
      <c r="O89">
        <v>305911.133738378</v>
      </c>
      <c r="P89">
        <v>182842.85752738599</v>
      </c>
      <c r="Q89">
        <v>488753.99226576398</v>
      </c>
      <c r="S89">
        <v>8745.0059999999994</v>
      </c>
      <c r="T89">
        <v>183492.95316813001</v>
      </c>
      <c r="V89">
        <v>8745.0059999999994</v>
      </c>
      <c r="W89">
        <v>-44347.506210073501</v>
      </c>
    </row>
    <row r="90" spans="7:23" x14ac:dyDescent="0.25">
      <c r="G90">
        <v>8746.0059999999994</v>
      </c>
      <c r="H90">
        <v>638362.53311475099</v>
      </c>
      <c r="I90">
        <v>-184314.09722475</v>
      </c>
      <c r="J90">
        <v>454048.43588999799</v>
      </c>
      <c r="K90">
        <v>-184262.20678891701</v>
      </c>
      <c r="L90">
        <v>-0.25197543081225099</v>
      </c>
      <c r="N90">
        <v>8746.0059999999994</v>
      </c>
      <c r="O90">
        <v>305984.06273837801</v>
      </c>
      <c r="P90">
        <v>182863.76352738601</v>
      </c>
      <c r="Q90">
        <v>488847.82626576402</v>
      </c>
      <c r="S90">
        <v>8746.0059999999994</v>
      </c>
      <c r="T90">
        <v>183492.95316813001</v>
      </c>
      <c r="V90">
        <v>8746.0059999999994</v>
      </c>
      <c r="W90">
        <v>-44334.529210073502</v>
      </c>
    </row>
    <row r="91" spans="7:23" x14ac:dyDescent="0.25">
      <c r="G91">
        <v>8747.0059999999994</v>
      </c>
      <c r="H91">
        <v>638362.53311475099</v>
      </c>
      <c r="I91">
        <v>-184250.81722475</v>
      </c>
      <c r="J91">
        <v>454111.71588999801</v>
      </c>
      <c r="K91">
        <v>-184198.92678891699</v>
      </c>
      <c r="L91">
        <v>-0.25197543081225099</v>
      </c>
      <c r="N91">
        <v>8747.0059999999994</v>
      </c>
      <c r="O91">
        <v>306062.00073837797</v>
      </c>
      <c r="P91">
        <v>182884.669527386</v>
      </c>
      <c r="Q91">
        <v>488946.670265764</v>
      </c>
      <c r="S91">
        <v>8747.0059999999994</v>
      </c>
      <c r="T91">
        <v>183492.95316813001</v>
      </c>
      <c r="V91">
        <v>8747.0059999999994</v>
      </c>
      <c r="W91">
        <v>-44320.521210073501</v>
      </c>
    </row>
    <row r="92" spans="7:23" x14ac:dyDescent="0.25">
      <c r="G92">
        <v>8748.0059999999994</v>
      </c>
      <c r="H92">
        <v>638392.71511475195</v>
      </c>
      <c r="I92">
        <v>-184212.73922475</v>
      </c>
      <c r="J92">
        <v>454179.97588999802</v>
      </c>
      <c r="K92">
        <v>-184160.84878891701</v>
      </c>
      <c r="L92">
        <v>-0.25197543081185297</v>
      </c>
      <c r="N92">
        <v>8748.0059999999994</v>
      </c>
      <c r="O92">
        <v>306108.44473837799</v>
      </c>
      <c r="P92">
        <v>182905.57552738601</v>
      </c>
      <c r="Q92">
        <v>489014.02026576397</v>
      </c>
      <c r="S92">
        <v>8748.0059999999994</v>
      </c>
      <c r="T92">
        <v>183494.52916812999</v>
      </c>
      <c r="V92">
        <v>8748.0059999999994</v>
      </c>
      <c r="W92">
        <v>-44312.1972100735</v>
      </c>
    </row>
    <row r="93" spans="7:23" x14ac:dyDescent="0.25">
      <c r="G93">
        <v>8749.0059999999994</v>
      </c>
      <c r="H93">
        <v>638408.03811475099</v>
      </c>
      <c r="I93">
        <v>-184160.09222475</v>
      </c>
      <c r="J93">
        <v>454247.94588999799</v>
      </c>
      <c r="K93">
        <v>-184108.20178891701</v>
      </c>
      <c r="L93">
        <v>-0.25197543081185297</v>
      </c>
      <c r="N93">
        <v>8749.0059999999994</v>
      </c>
      <c r="O93">
        <v>306172.30473837798</v>
      </c>
      <c r="P93">
        <v>182926.481527386</v>
      </c>
      <c r="Q93">
        <v>489098.78626576398</v>
      </c>
      <c r="S93">
        <v>8749.0059999999994</v>
      </c>
      <c r="T93">
        <v>183494.72516813001</v>
      </c>
      <c r="V93">
        <v>8749.0059999999994</v>
      </c>
      <c r="W93">
        <v>-44301.039210073497</v>
      </c>
    </row>
    <row r="94" spans="7:23" x14ac:dyDescent="0.25">
      <c r="G94">
        <v>8750.0059999999994</v>
      </c>
      <c r="H94">
        <v>638430.75611475098</v>
      </c>
      <c r="I94">
        <v>-184112.36022475001</v>
      </c>
      <c r="J94">
        <v>454318.39588999801</v>
      </c>
      <c r="K94">
        <v>-184060.46978891699</v>
      </c>
      <c r="L94">
        <v>-0.251975430812166</v>
      </c>
      <c r="N94">
        <v>8750.0059999999994</v>
      </c>
      <c r="O94">
        <v>306230.13273837802</v>
      </c>
      <c r="P94">
        <v>182947.38752738599</v>
      </c>
      <c r="Q94">
        <v>489177.51926576399</v>
      </c>
      <c r="S94">
        <v>8750.0059999999994</v>
      </c>
      <c r="T94">
        <v>183495.10716812999</v>
      </c>
      <c r="V94">
        <v>8750.0059999999994</v>
      </c>
      <c r="W94">
        <v>-44290.969210073497</v>
      </c>
    </row>
    <row r="95" spans="7:23" x14ac:dyDescent="0.25">
      <c r="G95">
        <v>8751.0059999999994</v>
      </c>
      <c r="H95">
        <v>638451.35111475096</v>
      </c>
      <c r="I95">
        <v>-184058.30522474999</v>
      </c>
      <c r="J95">
        <v>454393.04588999797</v>
      </c>
      <c r="K95">
        <v>-184006.414788917</v>
      </c>
      <c r="L95">
        <v>-0.25197543081222301</v>
      </c>
      <c r="N95">
        <v>8751.0059999999994</v>
      </c>
      <c r="O95">
        <v>306296.46673837799</v>
      </c>
      <c r="P95">
        <v>182968.29252738599</v>
      </c>
      <c r="Q95">
        <v>489264.76026576402</v>
      </c>
      <c r="S95">
        <v>8751.0059999999994</v>
      </c>
      <c r="T95">
        <v>183495.42916813001</v>
      </c>
      <c r="V95">
        <v>8751.0059999999994</v>
      </c>
      <c r="W95">
        <v>-44280.395210073497</v>
      </c>
    </row>
    <row r="96" spans="7:23" x14ac:dyDescent="0.25">
      <c r="G96">
        <v>8752.0059999999994</v>
      </c>
      <c r="H96">
        <v>638471.94711475098</v>
      </c>
      <c r="I96">
        <v>-183989.93122475001</v>
      </c>
      <c r="J96">
        <v>454482.015889998</v>
      </c>
      <c r="K96">
        <v>-183938.04078891699</v>
      </c>
      <c r="L96">
        <v>-0.25197543081236501</v>
      </c>
      <c r="N96">
        <v>8752.0059999999994</v>
      </c>
      <c r="O96">
        <v>306381.802738378</v>
      </c>
      <c r="P96">
        <v>182989.198527386</v>
      </c>
      <c r="Q96">
        <v>489371.001265764</v>
      </c>
      <c r="S96">
        <v>8752.0059999999994</v>
      </c>
      <c r="T96">
        <v>183495.65516813</v>
      </c>
      <c r="V96">
        <v>8752.0059999999994</v>
      </c>
      <c r="W96">
        <v>-44267.023210073501</v>
      </c>
    </row>
    <row r="97" spans="7:23" x14ac:dyDescent="0.25">
      <c r="G97">
        <v>8753.0059999999994</v>
      </c>
      <c r="H97">
        <v>638492.54211475095</v>
      </c>
      <c r="I97">
        <v>-183900.95622475</v>
      </c>
      <c r="J97">
        <v>454591.58588999801</v>
      </c>
      <c r="K97">
        <v>-183849.06578891701</v>
      </c>
      <c r="L97">
        <v>-0.25197543081233598</v>
      </c>
      <c r="N97">
        <v>8753.0059999999994</v>
      </c>
      <c r="O97">
        <v>306492.98073837801</v>
      </c>
      <c r="P97">
        <v>183010.10452738599</v>
      </c>
      <c r="Q97">
        <v>489503.08526576398</v>
      </c>
      <c r="S97">
        <v>8753.0059999999994</v>
      </c>
      <c r="T97">
        <v>183495.86116813001</v>
      </c>
      <c r="V97">
        <v>8753.0059999999994</v>
      </c>
      <c r="W97">
        <v>-44249.169210073502</v>
      </c>
    </row>
    <row r="98" spans="7:23" x14ac:dyDescent="0.25">
      <c r="G98">
        <v>8754.0059999999994</v>
      </c>
      <c r="H98">
        <v>638513.13711475197</v>
      </c>
      <c r="I98">
        <v>-183813.32122474999</v>
      </c>
      <c r="J98">
        <v>454699.81588999799</v>
      </c>
      <c r="K98">
        <v>-183761.430788917</v>
      </c>
      <c r="L98">
        <v>-0.25197543081222301</v>
      </c>
      <c r="N98">
        <v>8754.0059999999994</v>
      </c>
      <c r="O98">
        <v>306600.58873837802</v>
      </c>
      <c r="P98">
        <v>183031.01052738601</v>
      </c>
      <c r="Q98">
        <v>489631.599265764</v>
      </c>
      <c r="S98">
        <v>8754.0059999999994</v>
      </c>
      <c r="T98">
        <v>183496.10416813</v>
      </c>
      <c r="V98">
        <v>8754.0059999999994</v>
      </c>
      <c r="W98">
        <v>-44232.2312100735</v>
      </c>
    </row>
    <row r="99" spans="7:23" x14ac:dyDescent="0.25">
      <c r="G99">
        <v>8755.0059999999994</v>
      </c>
      <c r="H99">
        <v>638533.73311475106</v>
      </c>
      <c r="I99">
        <v>-183748.29722474999</v>
      </c>
      <c r="J99">
        <v>454785.43588999799</v>
      </c>
      <c r="K99">
        <v>-183696.406788917</v>
      </c>
      <c r="L99">
        <v>-0.25197543081179602</v>
      </c>
      <c r="N99">
        <v>8755.0059999999994</v>
      </c>
      <c r="O99">
        <v>306678.39573837799</v>
      </c>
      <c r="P99">
        <v>183051.916527386</v>
      </c>
      <c r="Q99">
        <v>489730.31226576399</v>
      </c>
      <c r="S99">
        <v>8755.0059999999994</v>
      </c>
      <c r="T99">
        <v>183496.24016813</v>
      </c>
      <c r="V99">
        <v>8755.0059999999994</v>
      </c>
      <c r="W99">
        <v>-44221.009210073498</v>
      </c>
    </row>
    <row r="100" spans="7:23" x14ac:dyDescent="0.25">
      <c r="G100">
        <v>8756.0059999999994</v>
      </c>
      <c r="H100">
        <v>638554.32811475196</v>
      </c>
      <c r="I100">
        <v>-183677.56222475</v>
      </c>
      <c r="J100">
        <v>454876.765889998</v>
      </c>
      <c r="K100">
        <v>-183625.67178891701</v>
      </c>
      <c r="L100">
        <v>-0.25197543081156898</v>
      </c>
      <c r="N100">
        <v>8756.0059999999994</v>
      </c>
      <c r="O100">
        <v>306761.08373837802</v>
      </c>
      <c r="P100">
        <v>183072.82252738599</v>
      </c>
      <c r="Q100">
        <v>489833.90626576397</v>
      </c>
      <c r="S100">
        <v>8756.0059999999994</v>
      </c>
      <c r="T100">
        <v>183496.44716812999</v>
      </c>
      <c r="V100">
        <v>8756.0059999999994</v>
      </c>
      <c r="W100">
        <v>-44209.152210073502</v>
      </c>
    </row>
    <row r="101" spans="7:23" x14ac:dyDescent="0.25">
      <c r="G101">
        <v>8757.0059999999994</v>
      </c>
      <c r="H101">
        <v>638567.88411475101</v>
      </c>
      <c r="I101">
        <v>-183616.17822475001</v>
      </c>
      <c r="J101">
        <v>454951.705889998</v>
      </c>
      <c r="K101">
        <v>-183564.28778891699</v>
      </c>
      <c r="L101">
        <v>-0.251975430812166</v>
      </c>
      <c r="N101">
        <v>8757.0059999999994</v>
      </c>
      <c r="O101">
        <v>306831.74173837801</v>
      </c>
      <c r="P101">
        <v>183093.728527386</v>
      </c>
      <c r="Q101">
        <v>489925.47026576399</v>
      </c>
      <c r="S101">
        <v>8757.0059999999994</v>
      </c>
      <c r="T101">
        <v>183496.52216813</v>
      </c>
      <c r="V101">
        <v>8757.0059999999994</v>
      </c>
      <c r="W101">
        <v>-44199.146210073501</v>
      </c>
    </row>
    <row r="102" spans="7:23" x14ac:dyDescent="0.25">
      <c r="G102">
        <v>8758.0059999999994</v>
      </c>
      <c r="H102">
        <v>638567.88411475101</v>
      </c>
      <c r="I102">
        <v>-183547.67822475001</v>
      </c>
      <c r="J102">
        <v>455020.205889998</v>
      </c>
      <c r="K102">
        <v>-183495.78778891699</v>
      </c>
      <c r="L102">
        <v>-0.251975430812166</v>
      </c>
      <c r="N102">
        <v>8758.0059999999994</v>
      </c>
      <c r="O102">
        <v>306908.39273837802</v>
      </c>
      <c r="P102">
        <v>183114.63452738599</v>
      </c>
      <c r="Q102">
        <v>490023.02726576402</v>
      </c>
      <c r="S102">
        <v>8758.0059999999994</v>
      </c>
      <c r="T102">
        <v>183496.52216813</v>
      </c>
      <c r="V102">
        <v>8758.0059999999994</v>
      </c>
      <c r="W102">
        <v>-44188.016210073503</v>
      </c>
    </row>
    <row r="103" spans="7:23" x14ac:dyDescent="0.25">
      <c r="G103">
        <v>8759.0059999999994</v>
      </c>
      <c r="H103">
        <v>638567.88411475101</v>
      </c>
      <c r="I103">
        <v>-183487.89822475001</v>
      </c>
      <c r="J103">
        <v>455079.98588999797</v>
      </c>
      <c r="K103">
        <v>-183435.97778891699</v>
      </c>
      <c r="L103">
        <v>-0.251975430812166</v>
      </c>
      <c r="N103">
        <v>8759.0059999999994</v>
      </c>
      <c r="O103">
        <v>306969.56473837799</v>
      </c>
      <c r="P103">
        <v>183135.53952738599</v>
      </c>
      <c r="Q103">
        <v>490105.10426576401</v>
      </c>
      <c r="S103">
        <v>8759.0059999999994</v>
      </c>
      <c r="T103">
        <v>183496.52216813</v>
      </c>
      <c r="V103">
        <v>8759.0059999999994</v>
      </c>
      <c r="W103">
        <v>-44178.380210073497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E879-D21F-4FE7-BADC-58108B00287B}">
  <dimension ref="B2:U102"/>
  <sheetViews>
    <sheetView workbookViewId="0">
      <selection activeCell="B9" sqref="B9"/>
    </sheetView>
  </sheetViews>
  <sheetFormatPr defaultRowHeight="15" x14ac:dyDescent="0.25"/>
  <cols>
    <col min="7" max="7" width="25.140625" customWidth="1"/>
    <col min="8" max="8" width="27" customWidth="1"/>
    <col min="9" max="9" width="26.42578125" customWidth="1"/>
    <col min="12" max="12" width="25.85546875" customWidth="1"/>
    <col min="13" max="13" width="28.85546875" customWidth="1"/>
    <col min="14" max="14" width="30.5703125" customWidth="1"/>
    <col min="15" max="15" width="17.85546875" customWidth="1"/>
    <col min="18" max="18" width="28.5703125" bestFit="1" customWidth="1"/>
  </cols>
  <sheetData>
    <row r="2" spans="2:21" x14ac:dyDescent="0.25">
      <c r="B2" t="s">
        <v>68</v>
      </c>
      <c r="G2" t="s">
        <v>62</v>
      </c>
      <c r="H2" t="s">
        <v>63</v>
      </c>
      <c r="I2" t="s">
        <v>64</v>
      </c>
      <c r="L2" t="s">
        <v>39</v>
      </c>
      <c r="M2" t="s">
        <v>40</v>
      </c>
      <c r="N2" t="s">
        <v>41</v>
      </c>
      <c r="O2" t="s">
        <v>61</v>
      </c>
      <c r="R2" t="s">
        <v>42</v>
      </c>
      <c r="U2" t="s">
        <v>42</v>
      </c>
    </row>
    <row r="3" spans="2:21" x14ac:dyDescent="0.25">
      <c r="B3" t="s">
        <v>255</v>
      </c>
      <c r="F3">
        <v>8684.0059999999994</v>
      </c>
      <c r="G3">
        <v>6698.5903967650702</v>
      </c>
      <c r="H3">
        <v>34655.169168337299</v>
      </c>
      <c r="I3">
        <v>51982.753752506003</v>
      </c>
      <c r="K3">
        <v>8684.0059999999994</v>
      </c>
      <c r="L3">
        <v>410562.10401967698</v>
      </c>
      <c r="M3">
        <v>41995.226917806198</v>
      </c>
      <c r="N3">
        <v>594008.31980735005</v>
      </c>
      <c r="O3">
        <v>141450.988869867</v>
      </c>
      <c r="Q3">
        <v>8684.0059999999994</v>
      </c>
      <c r="R3">
        <v>63847.391849193897</v>
      </c>
      <c r="T3">
        <v>8660.0059999999994</v>
      </c>
      <c r="U3">
        <v>71702.026861736595</v>
      </c>
    </row>
    <row r="4" spans="2:21" x14ac:dyDescent="0.25">
      <c r="B4" t="s">
        <v>82</v>
      </c>
      <c r="F4">
        <v>8685.0059999999994</v>
      </c>
      <c r="G4">
        <v>6698.5903967650702</v>
      </c>
      <c r="H4">
        <v>34655.169168337299</v>
      </c>
      <c r="I4">
        <v>51982.753752506003</v>
      </c>
      <c r="K4">
        <v>8685.0059999999994</v>
      </c>
      <c r="L4">
        <v>410591.80757926102</v>
      </c>
      <c r="M4">
        <v>42000.0622922353</v>
      </c>
      <c r="N4">
        <v>594059.14555643196</v>
      </c>
      <c r="O4">
        <v>141467.27568493501</v>
      </c>
      <c r="Q4">
        <v>8685.0059999999994</v>
      </c>
      <c r="R4">
        <v>63852.363622098201</v>
      </c>
      <c r="T4">
        <v>8661.0059999999994</v>
      </c>
      <c r="U4">
        <v>71713.169861736606</v>
      </c>
    </row>
    <row r="5" spans="2:21" x14ac:dyDescent="0.25">
      <c r="B5" t="s">
        <v>86</v>
      </c>
      <c r="F5">
        <v>8686.0059999999994</v>
      </c>
      <c r="G5">
        <v>6698.5903967650702</v>
      </c>
      <c r="H5">
        <v>34655.169168337299</v>
      </c>
      <c r="I5">
        <v>51982.753752506003</v>
      </c>
      <c r="K5">
        <v>8686.0059999999994</v>
      </c>
      <c r="L5">
        <v>410609.99110546103</v>
      </c>
      <c r="M5">
        <v>42004.897666664598</v>
      </c>
      <c r="N5">
        <v>594098.45127213001</v>
      </c>
      <c r="O5">
        <v>141483.56250000399</v>
      </c>
      <c r="Q5">
        <v>8686.0059999999994</v>
      </c>
      <c r="R5">
        <v>63855.501407429103</v>
      </c>
      <c r="T5">
        <v>8662.0059999999994</v>
      </c>
      <c r="U5">
        <v>71718.733861736604</v>
      </c>
    </row>
    <row r="6" spans="2:21" x14ac:dyDescent="0.25">
      <c r="B6" t="s">
        <v>256</v>
      </c>
      <c r="F6">
        <v>8687.0059999999994</v>
      </c>
      <c r="G6">
        <v>6698.5903967650702</v>
      </c>
      <c r="H6">
        <v>34655.197671970003</v>
      </c>
      <c r="I6">
        <v>51982.796507954998</v>
      </c>
      <c r="K6">
        <v>8687.0059999999994</v>
      </c>
      <c r="L6">
        <v>410623.73389032698</v>
      </c>
      <c r="M6">
        <v>42009.733041093801</v>
      </c>
      <c r="N6">
        <v>594133.31624649302</v>
      </c>
      <c r="O6">
        <v>141499.849315072</v>
      </c>
      <c r="Q6">
        <v>8687.0059999999994</v>
      </c>
      <c r="R6">
        <v>63858.647585521503</v>
      </c>
      <c r="T6">
        <v>8663.0059999999994</v>
      </c>
      <c r="U6">
        <v>71720.364861736598</v>
      </c>
    </row>
    <row r="7" spans="2:21" x14ac:dyDescent="0.25">
      <c r="B7" t="s">
        <v>257</v>
      </c>
      <c r="F7">
        <v>8688.0059999999994</v>
      </c>
      <c r="G7">
        <v>6698.5903967650702</v>
      </c>
      <c r="H7">
        <v>34655.197671970003</v>
      </c>
      <c r="I7">
        <v>51982.796507954998</v>
      </c>
      <c r="K7">
        <v>8688.0059999999994</v>
      </c>
      <c r="L7">
        <v>410639.251677497</v>
      </c>
      <c r="M7">
        <v>42014.568415522997</v>
      </c>
      <c r="N7">
        <v>594169.95622316201</v>
      </c>
      <c r="O7">
        <v>141516.13613014101</v>
      </c>
      <c r="Q7">
        <v>8688.0059999999994</v>
      </c>
      <c r="R7">
        <v>63862.8656940898</v>
      </c>
      <c r="T7">
        <v>8664.0059999999994</v>
      </c>
      <c r="U7">
        <v>71721.094861736594</v>
      </c>
    </row>
    <row r="8" spans="2:21" x14ac:dyDescent="0.25">
      <c r="B8" t="s">
        <v>80</v>
      </c>
      <c r="F8">
        <v>8689.0059999999994</v>
      </c>
      <c r="G8">
        <v>6698.5903967650702</v>
      </c>
      <c r="H8">
        <v>34655.197671970003</v>
      </c>
      <c r="I8">
        <v>51982.796507954998</v>
      </c>
      <c r="K8">
        <v>8689.0059999999994</v>
      </c>
      <c r="L8">
        <v>410655.140104327</v>
      </c>
      <c r="M8">
        <v>42019.403789952303</v>
      </c>
      <c r="N8">
        <v>594206.96683948894</v>
      </c>
      <c r="O8">
        <v>141532.42294520899</v>
      </c>
      <c r="Q8">
        <v>8689.0059999999994</v>
      </c>
      <c r="R8">
        <v>63867.356616983001</v>
      </c>
      <c r="T8">
        <v>8665.0059999999994</v>
      </c>
      <c r="U8">
        <v>71719.848861736595</v>
      </c>
    </row>
    <row r="9" spans="2:21" x14ac:dyDescent="0.25">
      <c r="B9" t="s">
        <v>90</v>
      </c>
      <c r="F9">
        <v>8690.0059999999994</v>
      </c>
      <c r="G9">
        <v>6698.5903967650702</v>
      </c>
      <c r="H9">
        <v>34655.197671970003</v>
      </c>
      <c r="I9">
        <v>51982.796507954998</v>
      </c>
      <c r="K9">
        <v>8690.0059999999994</v>
      </c>
      <c r="L9">
        <v>410672.77516012901</v>
      </c>
      <c r="M9">
        <v>42024.239164381499</v>
      </c>
      <c r="N9">
        <v>594245.72408478905</v>
      </c>
      <c r="O9">
        <v>141548.709760278</v>
      </c>
      <c r="Q9">
        <v>8690.0059999999994</v>
      </c>
      <c r="R9">
        <v>63872.412318955299</v>
      </c>
      <c r="T9">
        <v>8666.0059999999994</v>
      </c>
      <c r="U9">
        <v>71717.892861736604</v>
      </c>
    </row>
    <row r="10" spans="2:21" x14ac:dyDescent="0.25">
      <c r="B10" t="s">
        <v>258</v>
      </c>
      <c r="F10">
        <v>8691.0059999999994</v>
      </c>
      <c r="G10">
        <v>6698.5903967650702</v>
      </c>
      <c r="H10">
        <v>34655.197671970003</v>
      </c>
      <c r="I10">
        <v>51982.796507954998</v>
      </c>
      <c r="K10">
        <v>8691.0059999999994</v>
      </c>
      <c r="L10">
        <v>410693.567259759</v>
      </c>
      <c r="M10">
        <v>42029.074538810703</v>
      </c>
      <c r="N10">
        <v>594287.63837391604</v>
      </c>
      <c r="O10">
        <v>141564.99657534601</v>
      </c>
      <c r="Q10">
        <v>8691.0059999999994</v>
      </c>
      <c r="R10">
        <v>63879.226338609697</v>
      </c>
      <c r="T10">
        <v>8667.0059999999994</v>
      </c>
      <c r="U10">
        <v>71715.315861736599</v>
      </c>
    </row>
    <row r="11" spans="2:21" x14ac:dyDescent="0.25">
      <c r="B11" t="s">
        <v>259</v>
      </c>
      <c r="F11">
        <v>8692.0059999999994</v>
      </c>
      <c r="G11">
        <v>6698.5903967650702</v>
      </c>
      <c r="H11">
        <v>34655.197671970003</v>
      </c>
      <c r="I11">
        <v>51982.796507954998</v>
      </c>
      <c r="K11">
        <v>8692.0059999999994</v>
      </c>
      <c r="L11">
        <v>410716.06195685</v>
      </c>
      <c r="M11">
        <v>42033.909913239899</v>
      </c>
      <c r="N11">
        <v>594331.25526050502</v>
      </c>
      <c r="O11">
        <v>141581.28339041499</v>
      </c>
      <c r="Q11">
        <v>8692.0059999999994</v>
      </c>
      <c r="R11">
        <v>63887.143690208402</v>
      </c>
      <c r="T11">
        <v>8668.0059999999994</v>
      </c>
      <c r="U11">
        <v>71712.331861736602</v>
      </c>
    </row>
    <row r="12" spans="2:21" x14ac:dyDescent="0.25">
      <c r="B12" t="s">
        <v>260</v>
      </c>
      <c r="F12">
        <v>8693.0059999999994</v>
      </c>
      <c r="G12">
        <v>6698.5903967650702</v>
      </c>
      <c r="H12">
        <v>34655.197671970003</v>
      </c>
      <c r="I12">
        <v>51982.796507954998</v>
      </c>
      <c r="K12">
        <v>8693.0059999999994</v>
      </c>
      <c r="L12">
        <v>410746.16267470003</v>
      </c>
      <c r="M12">
        <v>42038.745287669102</v>
      </c>
      <c r="N12">
        <v>594382.47816785297</v>
      </c>
      <c r="O12">
        <v>141597.570205483</v>
      </c>
      <c r="Q12">
        <v>8693.0059999999994</v>
      </c>
      <c r="R12">
        <v>63897.520892574299</v>
      </c>
      <c r="T12">
        <v>8669.0059999999994</v>
      </c>
      <c r="U12">
        <v>71709.366861736606</v>
      </c>
    </row>
    <row r="13" spans="2:21" x14ac:dyDescent="0.25">
      <c r="B13" t="s">
        <v>92</v>
      </c>
      <c r="F13">
        <v>8694.0059999999994</v>
      </c>
      <c r="G13">
        <v>6698.5903967650702</v>
      </c>
      <c r="H13">
        <v>34655.197671970003</v>
      </c>
      <c r="I13">
        <v>51982.796507954998</v>
      </c>
      <c r="K13">
        <v>8694.0059999999994</v>
      </c>
      <c r="L13">
        <v>410793.35313137399</v>
      </c>
      <c r="M13">
        <v>42043.5806620984</v>
      </c>
      <c r="N13">
        <v>594450.79081402405</v>
      </c>
      <c r="O13">
        <v>141613.85702055099</v>
      </c>
      <c r="Q13">
        <v>8694.0059999999994</v>
      </c>
      <c r="R13">
        <v>63915.265017863698</v>
      </c>
      <c r="T13">
        <v>8670.0059999999994</v>
      </c>
      <c r="U13">
        <v>71706.817861736607</v>
      </c>
    </row>
    <row r="14" spans="2:21" x14ac:dyDescent="0.25">
      <c r="B14" t="s">
        <v>94</v>
      </c>
      <c r="F14">
        <v>8695.0059999999994</v>
      </c>
      <c r="G14">
        <v>6698.5903967650702</v>
      </c>
      <c r="H14">
        <v>34655.197671970003</v>
      </c>
      <c r="I14">
        <v>51982.796507954998</v>
      </c>
      <c r="K14">
        <v>8695.0059999999994</v>
      </c>
      <c r="L14">
        <v>410855.61264179897</v>
      </c>
      <c r="M14">
        <v>42048.416036527597</v>
      </c>
      <c r="N14">
        <v>594534.17251394701</v>
      </c>
      <c r="O14">
        <v>141630.14383561999</v>
      </c>
      <c r="Q14">
        <v>8695.0059999999994</v>
      </c>
      <c r="R14">
        <v>63940.283340915201</v>
      </c>
      <c r="T14">
        <v>8671.0059999999994</v>
      </c>
      <c r="U14">
        <v>71705.006861736605</v>
      </c>
    </row>
    <row r="15" spans="2:21" x14ac:dyDescent="0.25">
      <c r="B15" t="s">
        <v>96</v>
      </c>
      <c r="F15">
        <v>8696.0059999999994</v>
      </c>
      <c r="G15">
        <v>6698.5903967650702</v>
      </c>
      <c r="H15">
        <v>34655.197671970003</v>
      </c>
      <c r="I15">
        <v>51982.796507954998</v>
      </c>
      <c r="K15">
        <v>8696.0059999999994</v>
      </c>
      <c r="L15">
        <v>410928.55240249302</v>
      </c>
      <c r="M15">
        <v>42053.2514109568</v>
      </c>
      <c r="N15">
        <v>594628.23446413898</v>
      </c>
      <c r="O15">
        <v>141646.43065068801</v>
      </c>
      <c r="Q15">
        <v>8696.0059999999994</v>
      </c>
      <c r="R15">
        <v>63969.3640091743</v>
      </c>
      <c r="T15">
        <v>8672.0059999999994</v>
      </c>
      <c r="U15">
        <v>71705.014861736607</v>
      </c>
    </row>
    <row r="16" spans="2:21" x14ac:dyDescent="0.25">
      <c r="B16" t="s">
        <v>98</v>
      </c>
      <c r="F16">
        <v>8697.0059999999994</v>
      </c>
      <c r="G16">
        <v>6698.5903967650702</v>
      </c>
      <c r="H16">
        <v>34655.241474144997</v>
      </c>
      <c r="I16">
        <v>51982.862211217602</v>
      </c>
      <c r="K16">
        <v>8697.0059999999994</v>
      </c>
      <c r="L16">
        <v>411023.92179388902</v>
      </c>
      <c r="M16">
        <v>42058.086785386098</v>
      </c>
      <c r="N16">
        <v>594744.72604503203</v>
      </c>
      <c r="O16">
        <v>141662.71746575701</v>
      </c>
      <c r="Q16">
        <v>8697.0059999999994</v>
      </c>
      <c r="R16">
        <v>64004.528642780097</v>
      </c>
      <c r="T16">
        <v>8673.0059999999994</v>
      </c>
      <c r="U16">
        <v>71707.406861736599</v>
      </c>
    </row>
    <row r="17" spans="2:21" x14ac:dyDescent="0.25">
      <c r="B17" t="s">
        <v>100</v>
      </c>
      <c r="F17">
        <v>8698.0059999999994</v>
      </c>
      <c r="G17">
        <v>6698.5903967650702</v>
      </c>
      <c r="H17">
        <v>34656.690346764197</v>
      </c>
      <c r="I17">
        <v>51985.035520146397</v>
      </c>
      <c r="K17">
        <v>8698.0059999999994</v>
      </c>
      <c r="L17">
        <v>411119.91316974099</v>
      </c>
      <c r="M17">
        <v>42062.922159815302</v>
      </c>
      <c r="N17">
        <v>594861.83961038198</v>
      </c>
      <c r="O17">
        <v>141679.004280825</v>
      </c>
      <c r="Q17">
        <v>8698.0059999999994</v>
      </c>
      <c r="R17">
        <v>64036.587823560301</v>
      </c>
      <c r="T17">
        <v>8674.0059999999994</v>
      </c>
      <c r="U17">
        <v>71711.269861736597</v>
      </c>
    </row>
    <row r="18" spans="2:21" x14ac:dyDescent="0.25">
      <c r="B18" t="s">
        <v>102</v>
      </c>
      <c r="F18">
        <v>8699.0059999999994</v>
      </c>
      <c r="G18">
        <v>6698.5903967650702</v>
      </c>
      <c r="H18">
        <v>34659.215648149097</v>
      </c>
      <c r="I18">
        <v>51988.823472223703</v>
      </c>
      <c r="K18">
        <v>8699.0059999999994</v>
      </c>
      <c r="L18">
        <v>411204.19003027299</v>
      </c>
      <c r="M18">
        <v>42067.757534244498</v>
      </c>
      <c r="N18">
        <v>594967.23866041203</v>
      </c>
      <c r="O18">
        <v>141695.291095894</v>
      </c>
      <c r="Q18">
        <v>8699.0059999999994</v>
      </c>
      <c r="R18">
        <v>64066.0492735445</v>
      </c>
      <c r="T18">
        <v>8675.0059999999994</v>
      </c>
      <c r="U18">
        <v>71714.648861736598</v>
      </c>
    </row>
    <row r="19" spans="2:21" x14ac:dyDescent="0.25">
      <c r="B19" t="s">
        <v>104</v>
      </c>
      <c r="F19">
        <v>8700.0059999999994</v>
      </c>
      <c r="G19">
        <v>6698.5903967650702</v>
      </c>
      <c r="H19">
        <v>34661.389200955702</v>
      </c>
      <c r="I19">
        <v>51992.083801433597</v>
      </c>
      <c r="K19">
        <v>8700.0059999999994</v>
      </c>
      <c r="L19">
        <v>411267.938550247</v>
      </c>
      <c r="M19">
        <v>42072.592908673701</v>
      </c>
      <c r="N19">
        <v>595052.10936988401</v>
      </c>
      <c r="O19">
        <v>141711.57791096199</v>
      </c>
      <c r="Q19">
        <v>8700.0059999999994</v>
      </c>
      <c r="R19">
        <v>64087.581713797998</v>
      </c>
      <c r="T19">
        <v>8676.0059999999994</v>
      </c>
      <c r="U19">
        <v>71716.620861736606</v>
      </c>
    </row>
    <row r="20" spans="2:21" x14ac:dyDescent="0.25">
      <c r="B20" t="s">
        <v>106</v>
      </c>
      <c r="F20">
        <v>8701.0059999999994</v>
      </c>
      <c r="G20">
        <v>6698.5903967650702</v>
      </c>
      <c r="H20">
        <v>34662.401471510297</v>
      </c>
      <c r="I20">
        <v>51993.602207265503</v>
      </c>
      <c r="K20">
        <v>8701.0059999999994</v>
      </c>
      <c r="L20">
        <v>411326.814850831</v>
      </c>
      <c r="M20">
        <v>42077.428283102898</v>
      </c>
      <c r="N20">
        <v>595132.10785996495</v>
      </c>
      <c r="O20">
        <v>141727.864726031</v>
      </c>
      <c r="Q20">
        <v>8701.0059999999994</v>
      </c>
      <c r="R20">
        <v>64107.796607260498</v>
      </c>
      <c r="T20">
        <v>8677.0059999999994</v>
      </c>
      <c r="U20">
        <v>71719.134861736602</v>
      </c>
    </row>
    <row r="21" spans="2:21" x14ac:dyDescent="0.25">
      <c r="B21" t="s">
        <v>108</v>
      </c>
      <c r="F21">
        <v>8702.0059999999994</v>
      </c>
      <c r="G21">
        <v>6698.5903967650702</v>
      </c>
      <c r="H21">
        <v>34662.461621837399</v>
      </c>
      <c r="I21">
        <v>51993.692432756099</v>
      </c>
      <c r="K21">
        <v>8702.0059999999994</v>
      </c>
      <c r="L21">
        <v>411383.962677159</v>
      </c>
      <c r="M21">
        <v>42082.263657532101</v>
      </c>
      <c r="N21">
        <v>595210.37787579105</v>
      </c>
      <c r="O21">
        <v>141744.15154109901</v>
      </c>
      <c r="Q21">
        <v>8702.0059999999994</v>
      </c>
      <c r="R21">
        <v>64126.832419820297</v>
      </c>
      <c r="T21">
        <v>8678.0059999999994</v>
      </c>
      <c r="U21">
        <v>71721.197861736597</v>
      </c>
    </row>
    <row r="22" spans="2:21" x14ac:dyDescent="0.25">
      <c r="B22" t="s">
        <v>110</v>
      </c>
      <c r="F22">
        <v>8703.0059999999994</v>
      </c>
      <c r="G22">
        <v>6698.5903967650702</v>
      </c>
      <c r="H22">
        <v>34662.461621837399</v>
      </c>
      <c r="I22">
        <v>51993.692432756099</v>
      </c>
      <c r="K22">
        <v>8703.0059999999994</v>
      </c>
      <c r="L22">
        <v>411443.01432860602</v>
      </c>
      <c r="M22">
        <v>42087.099031961399</v>
      </c>
      <c r="N22">
        <v>595290.55171673605</v>
      </c>
      <c r="O22">
        <v>141760.43835616799</v>
      </c>
      <c r="Q22">
        <v>8703.0059999999994</v>
      </c>
      <c r="R22">
        <v>64143.580316295403</v>
      </c>
      <c r="T22">
        <v>8679.0059999999994</v>
      </c>
      <c r="U22">
        <v>71724.833861736595</v>
      </c>
    </row>
    <row r="23" spans="2:21" x14ac:dyDescent="0.25">
      <c r="B23" t="s">
        <v>112</v>
      </c>
      <c r="F23">
        <v>8704.0059999999994</v>
      </c>
      <c r="G23">
        <v>6698.5903967650702</v>
      </c>
      <c r="H23">
        <v>34662.461621837399</v>
      </c>
      <c r="I23">
        <v>51993.692432756099</v>
      </c>
      <c r="K23">
        <v>8704.0059999999994</v>
      </c>
      <c r="L23">
        <v>411518.33179270598</v>
      </c>
      <c r="M23">
        <v>42091.934406390603</v>
      </c>
      <c r="N23">
        <v>595386.99137033406</v>
      </c>
      <c r="O23">
        <v>141776.725171236</v>
      </c>
      <c r="Q23">
        <v>8704.0059999999994</v>
      </c>
      <c r="R23">
        <v>64161.670678815302</v>
      </c>
      <c r="T23">
        <v>8680.0059999999994</v>
      </c>
      <c r="U23">
        <v>71730.080861736598</v>
      </c>
    </row>
    <row r="24" spans="2:21" x14ac:dyDescent="0.25">
      <c r="B24" t="s">
        <v>114</v>
      </c>
      <c r="F24">
        <v>8705.0059999999994</v>
      </c>
      <c r="G24">
        <v>6698.5903967650702</v>
      </c>
      <c r="H24">
        <v>34662.461621837399</v>
      </c>
      <c r="I24">
        <v>51993.692432756099</v>
      </c>
      <c r="K24">
        <v>8705.0059999999994</v>
      </c>
      <c r="L24">
        <v>411618.775245242</v>
      </c>
      <c r="M24">
        <v>42096.769780819799</v>
      </c>
      <c r="N24">
        <v>595508.55701236695</v>
      </c>
      <c r="O24">
        <v>141793.01198630501</v>
      </c>
      <c r="Q24">
        <v>8705.0059999999994</v>
      </c>
      <c r="R24">
        <v>64184.6316512298</v>
      </c>
      <c r="T24">
        <v>8681.0059999999994</v>
      </c>
      <c r="U24">
        <v>71740.030861736595</v>
      </c>
    </row>
    <row r="25" spans="2:21" x14ac:dyDescent="0.25">
      <c r="F25">
        <v>8706.0059999999994</v>
      </c>
      <c r="G25">
        <v>6698.5903967650702</v>
      </c>
      <c r="H25">
        <v>34662.461621837399</v>
      </c>
      <c r="I25">
        <v>51993.692432756099</v>
      </c>
      <c r="K25">
        <v>8706.0059999999994</v>
      </c>
      <c r="L25">
        <v>411719.71375380998</v>
      </c>
      <c r="M25">
        <v>42101.605155249097</v>
      </c>
      <c r="N25">
        <v>595630.61771043297</v>
      </c>
      <c r="O25">
        <v>141809.29880137299</v>
      </c>
      <c r="Q25">
        <v>8706.0059999999994</v>
      </c>
      <c r="R25">
        <v>64204.345363575601</v>
      </c>
      <c r="T25">
        <v>8682.0059999999994</v>
      </c>
      <c r="U25">
        <v>71749.905861736595</v>
      </c>
    </row>
    <row r="26" spans="2:21" x14ac:dyDescent="0.25">
      <c r="F26">
        <v>8707.0059999999994</v>
      </c>
      <c r="G26">
        <v>6698.5903967650702</v>
      </c>
      <c r="H26">
        <v>34662.461621837399</v>
      </c>
      <c r="I26">
        <v>51993.692432756099</v>
      </c>
      <c r="K26">
        <v>8707.0059999999994</v>
      </c>
      <c r="L26">
        <v>411779.87782072503</v>
      </c>
      <c r="M26">
        <v>42106.440529678301</v>
      </c>
      <c r="N26">
        <v>595711.90396684501</v>
      </c>
      <c r="O26">
        <v>141825.585616442</v>
      </c>
      <c r="Q26">
        <v>8707.0059999999994</v>
      </c>
      <c r="R26">
        <v>64215.421684250898</v>
      </c>
      <c r="T26">
        <v>8683.0059999999994</v>
      </c>
      <c r="U26">
        <v>71757.409861736596</v>
      </c>
    </row>
    <row r="27" spans="2:21" x14ac:dyDescent="0.25">
      <c r="F27">
        <v>8708.0059999999994</v>
      </c>
      <c r="G27">
        <v>6698.5903967650702</v>
      </c>
      <c r="H27">
        <v>34662.461621837399</v>
      </c>
      <c r="I27">
        <v>51993.692432756099</v>
      </c>
      <c r="K27">
        <v>8708.0059999999994</v>
      </c>
      <c r="L27">
        <v>411815.93535350199</v>
      </c>
      <c r="M27">
        <v>42111.275904107497</v>
      </c>
      <c r="N27">
        <v>595769.08368912002</v>
      </c>
      <c r="O27">
        <v>141841.87243151001</v>
      </c>
      <c r="Q27">
        <v>8708.0059999999994</v>
      </c>
      <c r="R27">
        <v>64222.530276125399</v>
      </c>
      <c r="T27">
        <v>8684.0059999999994</v>
      </c>
      <c r="U27">
        <v>71763.859861736593</v>
      </c>
    </row>
    <row r="28" spans="2:21" x14ac:dyDescent="0.25">
      <c r="F28">
        <v>8709.0059999999994</v>
      </c>
      <c r="G28">
        <v>6698.5903967650702</v>
      </c>
      <c r="H28">
        <v>34662.461621837399</v>
      </c>
      <c r="I28">
        <v>51993.692432756099</v>
      </c>
      <c r="K28">
        <v>8709.0059999999994</v>
      </c>
      <c r="L28">
        <v>411833.44827079301</v>
      </c>
      <c r="M28">
        <v>42116.1112785367</v>
      </c>
      <c r="N28">
        <v>595807.71879590896</v>
      </c>
      <c r="O28">
        <v>141858.15924657899</v>
      </c>
      <c r="Q28">
        <v>8709.0059999999994</v>
      </c>
      <c r="R28">
        <v>64225.931684966999</v>
      </c>
      <c r="T28">
        <v>8685.0059999999994</v>
      </c>
      <c r="U28">
        <v>71768.831861736602</v>
      </c>
    </row>
    <row r="29" spans="2:21" x14ac:dyDescent="0.25">
      <c r="F29">
        <v>8710.0059999999994</v>
      </c>
      <c r="G29">
        <v>6698.5903967650702</v>
      </c>
      <c r="H29">
        <v>34662.461621837399</v>
      </c>
      <c r="I29">
        <v>51993.692432756099</v>
      </c>
      <c r="K29">
        <v>8710.0059999999994</v>
      </c>
      <c r="L29">
        <v>411842.99701129098</v>
      </c>
      <c r="M29">
        <v>42120.946652965897</v>
      </c>
      <c r="N29">
        <v>595838.38972590503</v>
      </c>
      <c r="O29">
        <v>141874.446061647</v>
      </c>
      <c r="Q29">
        <v>8710.0059999999994</v>
      </c>
      <c r="R29">
        <v>64227.684862497699</v>
      </c>
      <c r="T29">
        <v>8686.0059999999994</v>
      </c>
      <c r="U29">
        <v>71771.968861736605</v>
      </c>
    </row>
    <row r="30" spans="2:21" x14ac:dyDescent="0.25">
      <c r="F30">
        <v>8711.0059999999994</v>
      </c>
      <c r="G30">
        <v>6699.1953937013004</v>
      </c>
      <c r="H30">
        <v>34662.461621837399</v>
      </c>
      <c r="I30">
        <v>51993.692432756099</v>
      </c>
      <c r="K30">
        <v>8711.0059999999994</v>
      </c>
      <c r="L30">
        <v>411842.99701129098</v>
      </c>
      <c r="M30">
        <v>42125.782027395202</v>
      </c>
      <c r="N30">
        <v>595859.51191540295</v>
      </c>
      <c r="O30">
        <v>141890.73287671601</v>
      </c>
      <c r="Q30">
        <v>8711.0059999999994</v>
      </c>
      <c r="R30">
        <v>64227.130425222902</v>
      </c>
      <c r="T30">
        <v>8687.0059999999994</v>
      </c>
      <c r="U30">
        <v>71775.115861736602</v>
      </c>
    </row>
    <row r="31" spans="2:21" x14ac:dyDescent="0.25">
      <c r="F31">
        <v>8712.0059999999994</v>
      </c>
      <c r="G31">
        <v>6702.7487834739704</v>
      </c>
      <c r="H31">
        <v>34662.461621837399</v>
      </c>
      <c r="I31">
        <v>51993.692432756099</v>
      </c>
      <c r="K31">
        <v>8712.0059999999994</v>
      </c>
      <c r="L31">
        <v>411842.99701129098</v>
      </c>
      <c r="M31">
        <v>42130.617401824398</v>
      </c>
      <c r="N31">
        <v>595880.63410489995</v>
      </c>
      <c r="O31">
        <v>141907.01969178399</v>
      </c>
      <c r="Q31">
        <v>8712.0059999999994</v>
      </c>
      <c r="R31">
        <v>64224.556862319099</v>
      </c>
      <c r="T31">
        <v>8688.0059999999994</v>
      </c>
      <c r="U31">
        <v>71779.333861736595</v>
      </c>
    </row>
    <row r="32" spans="2:21" x14ac:dyDescent="0.25">
      <c r="F32">
        <v>8713.0059999999994</v>
      </c>
      <c r="G32">
        <v>6707.9773007041103</v>
      </c>
      <c r="H32">
        <v>34662.461621837399</v>
      </c>
      <c r="I32">
        <v>51993.692432756099</v>
      </c>
      <c r="K32">
        <v>8713.0059999999994</v>
      </c>
      <c r="L32">
        <v>411842.99701129098</v>
      </c>
      <c r="M32">
        <v>42135.452776253602</v>
      </c>
      <c r="N32">
        <v>595901.75629439799</v>
      </c>
      <c r="O32">
        <v>141923.306506853</v>
      </c>
      <c r="Q32">
        <v>8713.0059999999994</v>
      </c>
      <c r="R32">
        <v>64221.111522224201</v>
      </c>
      <c r="T32">
        <v>8689.0059999999994</v>
      </c>
      <c r="U32">
        <v>71783.824861736604</v>
      </c>
    </row>
    <row r="33" spans="6:21" x14ac:dyDescent="0.25">
      <c r="F33">
        <v>8714.0059999999994</v>
      </c>
      <c r="G33">
        <v>6713.7812330651604</v>
      </c>
      <c r="H33">
        <v>34662.461621837399</v>
      </c>
      <c r="I33">
        <v>51993.692432756099</v>
      </c>
      <c r="K33">
        <v>8714.0059999999994</v>
      </c>
      <c r="L33">
        <v>411842.99701129098</v>
      </c>
      <c r="M33">
        <v>42140.288150682798</v>
      </c>
      <c r="N33">
        <v>595922.87848389603</v>
      </c>
      <c r="O33">
        <v>141939.59332192101</v>
      </c>
      <c r="Q33">
        <v>8714.0059999999994</v>
      </c>
      <c r="R33">
        <v>64217.1171659354</v>
      </c>
      <c r="T33">
        <v>8690.0059999999994</v>
      </c>
      <c r="U33">
        <v>71788.879861736597</v>
      </c>
    </row>
    <row r="34" spans="6:21" x14ac:dyDescent="0.25">
      <c r="F34">
        <v>8715.0059999999994</v>
      </c>
      <c r="G34">
        <v>6720.4299698787199</v>
      </c>
      <c r="H34">
        <v>34662.461621837399</v>
      </c>
      <c r="I34">
        <v>51993.692432756099</v>
      </c>
      <c r="K34">
        <v>8715.0059999999994</v>
      </c>
      <c r="L34">
        <v>411842.99701129098</v>
      </c>
      <c r="M34">
        <v>42145.123525112002</v>
      </c>
      <c r="N34">
        <v>595944.00067339302</v>
      </c>
      <c r="O34">
        <v>141955.88013698999</v>
      </c>
      <c r="Q34">
        <v>8715.0059999999994</v>
      </c>
      <c r="R34">
        <v>64211.913481197102</v>
      </c>
      <c r="T34">
        <v>8691.0059999999994</v>
      </c>
      <c r="U34">
        <v>71795.693861736596</v>
      </c>
    </row>
    <row r="35" spans="6:21" x14ac:dyDescent="0.25">
      <c r="F35">
        <v>8716.0059999999994</v>
      </c>
      <c r="G35">
        <v>6727.5816007582898</v>
      </c>
      <c r="H35">
        <v>34662.461621837399</v>
      </c>
      <c r="I35">
        <v>51993.692432756099</v>
      </c>
      <c r="K35">
        <v>8716.0059999999994</v>
      </c>
      <c r="L35">
        <v>411842.99701129098</v>
      </c>
      <c r="M35">
        <v>42149.9588995413</v>
      </c>
      <c r="N35">
        <v>595965.12286289094</v>
      </c>
      <c r="O35">
        <v>141972.166952058</v>
      </c>
      <c r="Q35">
        <v>8716.0059999999994</v>
      </c>
      <c r="R35">
        <v>64207.0653422252</v>
      </c>
      <c r="T35">
        <v>8692.0059999999994</v>
      </c>
      <c r="U35">
        <v>71803.611861736601</v>
      </c>
    </row>
    <row r="36" spans="6:21" x14ac:dyDescent="0.25">
      <c r="F36">
        <v>8717.0059999999994</v>
      </c>
      <c r="G36">
        <v>6734.5388769436704</v>
      </c>
      <c r="H36">
        <v>34662.472297097403</v>
      </c>
      <c r="I36">
        <v>51993.708445646102</v>
      </c>
      <c r="K36">
        <v>8717.0059999999994</v>
      </c>
      <c r="L36">
        <v>411842.986336031</v>
      </c>
      <c r="M36">
        <v>42154.794273970503</v>
      </c>
      <c r="N36">
        <v>595986.234377129</v>
      </c>
      <c r="O36">
        <v>141988.45376712701</v>
      </c>
      <c r="Q36">
        <v>8717.0059999999994</v>
      </c>
      <c r="R36">
        <v>64202.635511027103</v>
      </c>
      <c r="T36">
        <v>8693.0059999999994</v>
      </c>
      <c r="U36">
        <v>71813.988861736594</v>
      </c>
    </row>
    <row r="37" spans="6:21" x14ac:dyDescent="0.25">
      <c r="F37">
        <v>8718.0059999999994</v>
      </c>
      <c r="G37">
        <v>6740.1509850073799</v>
      </c>
      <c r="H37">
        <v>34662.472297097403</v>
      </c>
      <c r="I37">
        <v>51993.708445646102</v>
      </c>
      <c r="K37">
        <v>8718.0059999999994</v>
      </c>
      <c r="L37">
        <v>411842.986336031</v>
      </c>
      <c r="M37">
        <v>42159.629648399699</v>
      </c>
      <c r="N37">
        <v>596007.356566626</v>
      </c>
      <c r="O37">
        <v>142004.74058219499</v>
      </c>
      <c r="Q37">
        <v>8718.0059999999994</v>
      </c>
      <c r="R37">
        <v>64198.737582727103</v>
      </c>
      <c r="T37">
        <v>8694.0059999999994</v>
      </c>
      <c r="U37">
        <v>71831.7328617366</v>
      </c>
    </row>
    <row r="38" spans="6:21" x14ac:dyDescent="0.25">
      <c r="F38">
        <v>8719.0059999999994</v>
      </c>
      <c r="G38">
        <v>6744.57310570153</v>
      </c>
      <c r="H38">
        <v>34662.4895326814</v>
      </c>
      <c r="I38">
        <v>51993.7342990221</v>
      </c>
      <c r="K38">
        <v>8719.0059999999994</v>
      </c>
      <c r="L38">
        <v>411842.96910044702</v>
      </c>
      <c r="M38">
        <v>42164.465022828997</v>
      </c>
      <c r="N38">
        <v>596028.46152053995</v>
      </c>
      <c r="O38">
        <v>142021.027397264</v>
      </c>
      <c r="Q38">
        <v>8719.0059999999994</v>
      </c>
      <c r="R38">
        <v>64194.954321412501</v>
      </c>
      <c r="T38">
        <v>8695.0059999999994</v>
      </c>
      <c r="U38">
        <v>71856.750861736597</v>
      </c>
    </row>
    <row r="39" spans="6:21" x14ac:dyDescent="0.25">
      <c r="F39">
        <v>8720.0059999999994</v>
      </c>
      <c r="G39">
        <v>6746.2207180435498</v>
      </c>
      <c r="H39">
        <v>34662.4895326814</v>
      </c>
      <c r="I39">
        <v>51993.7342990221</v>
      </c>
      <c r="K39">
        <v>8720.0059999999994</v>
      </c>
      <c r="L39">
        <v>411842.96910044702</v>
      </c>
      <c r="M39">
        <v>42169.300397258201</v>
      </c>
      <c r="N39">
        <v>596049.58371003799</v>
      </c>
      <c r="O39">
        <v>142037.31421233201</v>
      </c>
      <c r="Q39">
        <v>8720.0059999999994</v>
      </c>
      <c r="R39">
        <v>64193.357262756399</v>
      </c>
      <c r="T39">
        <v>8696.0059999999994</v>
      </c>
      <c r="U39">
        <v>71885.839861736604</v>
      </c>
    </row>
    <row r="40" spans="6:21" x14ac:dyDescent="0.25">
      <c r="F40">
        <v>8721.0059999999994</v>
      </c>
      <c r="G40">
        <v>6746.8333044349301</v>
      </c>
      <c r="H40">
        <v>34662.4895326814</v>
      </c>
      <c r="I40">
        <v>51993.7342990221</v>
      </c>
      <c r="K40">
        <v>8721.0059999999994</v>
      </c>
      <c r="L40">
        <v>411842.96910044702</v>
      </c>
      <c r="M40">
        <v>42174.135771687397</v>
      </c>
      <c r="N40">
        <v>596070.70589953603</v>
      </c>
      <c r="O40">
        <v>142053.6010274</v>
      </c>
      <c r="Q40">
        <v>8721.0059999999994</v>
      </c>
      <c r="R40">
        <v>64192.7720202743</v>
      </c>
      <c r="T40">
        <v>8697.0059999999994</v>
      </c>
      <c r="U40">
        <v>71921.450861736594</v>
      </c>
    </row>
    <row r="41" spans="6:21" x14ac:dyDescent="0.25">
      <c r="F41">
        <v>8722.0059999999994</v>
      </c>
      <c r="G41">
        <v>6748.8153980326597</v>
      </c>
      <c r="H41">
        <v>34662.512141692299</v>
      </c>
      <c r="I41">
        <v>51993.768212538402</v>
      </c>
      <c r="K41">
        <v>8722.0059999999994</v>
      </c>
      <c r="L41">
        <v>411842.94649143599</v>
      </c>
      <c r="M41">
        <v>42178.971146116601</v>
      </c>
      <c r="N41">
        <v>596091.80548002198</v>
      </c>
      <c r="O41">
        <v>142069.887842469</v>
      </c>
      <c r="Q41">
        <v>8722.0059999999994</v>
      </c>
      <c r="R41">
        <v>64190.896780895499</v>
      </c>
      <c r="T41">
        <v>8698.0059999999994</v>
      </c>
      <c r="U41">
        <v>71955.167861736598</v>
      </c>
    </row>
    <row r="42" spans="6:21" x14ac:dyDescent="0.25">
      <c r="F42">
        <v>8723.0059999999994</v>
      </c>
      <c r="G42">
        <v>6750.6314538134902</v>
      </c>
      <c r="H42">
        <v>34662.576622202301</v>
      </c>
      <c r="I42">
        <v>51993.864933303397</v>
      </c>
      <c r="K42">
        <v>8723.0059999999994</v>
      </c>
      <c r="L42">
        <v>411842.88201092603</v>
      </c>
      <c r="M42">
        <v>42183.806520545797</v>
      </c>
      <c r="N42">
        <v>596112.86318900995</v>
      </c>
      <c r="O42">
        <v>142086.17465753699</v>
      </c>
      <c r="Q42">
        <v>8723.0059999999994</v>
      </c>
      <c r="R42">
        <v>64189.099283206298</v>
      </c>
      <c r="T42">
        <v>8699.0059999999994</v>
      </c>
      <c r="U42">
        <v>71986.956861736602</v>
      </c>
    </row>
    <row r="43" spans="6:21" x14ac:dyDescent="0.25">
      <c r="F43">
        <v>8724.0059999999994</v>
      </c>
      <c r="G43">
        <v>6752.2774769717598</v>
      </c>
      <c r="H43">
        <v>34662.591550480603</v>
      </c>
      <c r="I43">
        <v>51993.887325721</v>
      </c>
      <c r="K43">
        <v>8724.0059999999994</v>
      </c>
      <c r="L43">
        <v>411842.86708264798</v>
      </c>
      <c r="M43">
        <v>42188.641894975102</v>
      </c>
      <c r="N43">
        <v>596133.97045022994</v>
      </c>
      <c r="O43">
        <v>142102.461472606</v>
      </c>
      <c r="Q43">
        <v>8724.0059999999994</v>
      </c>
      <c r="R43">
        <v>64187.484193092998</v>
      </c>
      <c r="T43">
        <v>8700.0059999999994</v>
      </c>
      <c r="U43">
        <v>72010.601861736606</v>
      </c>
    </row>
    <row r="44" spans="6:21" x14ac:dyDescent="0.25">
      <c r="F44">
        <v>8725.0059999999994</v>
      </c>
      <c r="G44">
        <v>6752.8202814021697</v>
      </c>
      <c r="H44">
        <v>34662.603955764702</v>
      </c>
      <c r="I44">
        <v>51993.905933647096</v>
      </c>
      <c r="K44">
        <v>8725.0059999999994</v>
      </c>
      <c r="L44">
        <v>411842.854677364</v>
      </c>
      <c r="M44">
        <v>42193.477269404299</v>
      </c>
      <c r="N44">
        <v>596155.08023444295</v>
      </c>
      <c r="O44">
        <v>142118.74828767401</v>
      </c>
      <c r="Q44">
        <v>8725.0059999999994</v>
      </c>
      <c r="R44">
        <v>64186.908357212698</v>
      </c>
      <c r="T44">
        <v>8701.0059999999994</v>
      </c>
      <c r="U44">
        <v>72032.185861736594</v>
      </c>
    </row>
    <row r="45" spans="6:21" x14ac:dyDescent="0.25">
      <c r="F45">
        <v>8726.0059999999994</v>
      </c>
      <c r="G45">
        <v>6752.8202814021697</v>
      </c>
      <c r="H45">
        <v>34662.603955764702</v>
      </c>
      <c r="I45">
        <v>51993.905933647096</v>
      </c>
      <c r="K45">
        <v>8726.0059999999994</v>
      </c>
      <c r="L45">
        <v>411843.22927744902</v>
      </c>
      <c r="M45">
        <v>42198.312643833502</v>
      </c>
      <c r="N45">
        <v>596176.57702402596</v>
      </c>
      <c r="O45">
        <v>142135.03510274299</v>
      </c>
      <c r="Q45">
        <v>8726.0059999999994</v>
      </c>
      <c r="R45">
        <v>64186.990476470899</v>
      </c>
      <c r="T45">
        <v>8702.0059999999994</v>
      </c>
      <c r="U45">
        <v>72051.734861736593</v>
      </c>
    </row>
    <row r="46" spans="6:21" x14ac:dyDescent="0.25">
      <c r="F46">
        <v>8727.0059999999994</v>
      </c>
      <c r="G46">
        <v>6752.8202814021697</v>
      </c>
      <c r="H46">
        <v>34662.603955764702</v>
      </c>
      <c r="I46">
        <v>51993.905933647096</v>
      </c>
      <c r="K46">
        <v>8727.0059999999994</v>
      </c>
      <c r="L46">
        <v>411867.99957118602</v>
      </c>
      <c r="M46">
        <v>42203.148018262698</v>
      </c>
      <c r="N46">
        <v>596222.46950726095</v>
      </c>
      <c r="O46">
        <v>142151.321917811</v>
      </c>
      <c r="Q46">
        <v>8727.0059999999994</v>
      </c>
      <c r="R46">
        <v>64193.294234804896</v>
      </c>
      <c r="T46">
        <v>8703.0059999999994</v>
      </c>
      <c r="U46">
        <v>72068.520861736601</v>
      </c>
    </row>
    <row r="47" spans="6:21" x14ac:dyDescent="0.25">
      <c r="F47">
        <v>8728.0059999999994</v>
      </c>
      <c r="G47">
        <v>6752.8202814021697</v>
      </c>
      <c r="H47">
        <v>34662.603955764702</v>
      </c>
      <c r="I47">
        <v>51993.905933647096</v>
      </c>
      <c r="K47">
        <v>8728.0059999999994</v>
      </c>
      <c r="L47">
        <v>411908.46776070102</v>
      </c>
      <c r="M47">
        <v>42207.983392691996</v>
      </c>
      <c r="N47">
        <v>596284.059886273</v>
      </c>
      <c r="O47">
        <v>142167.60873288001</v>
      </c>
      <c r="Q47">
        <v>8728.0059999999994</v>
      </c>
      <c r="R47">
        <v>64203.606107499298</v>
      </c>
      <c r="T47">
        <v>8704.0059999999994</v>
      </c>
      <c r="U47">
        <v>72086.610861736597</v>
      </c>
    </row>
    <row r="48" spans="6:21" x14ac:dyDescent="0.25">
      <c r="F48">
        <v>8729.0059999999994</v>
      </c>
      <c r="G48">
        <v>6752.8202814021697</v>
      </c>
      <c r="H48">
        <v>34662.603955764702</v>
      </c>
      <c r="I48">
        <v>51993.905933647096</v>
      </c>
      <c r="K48">
        <v>8729.0059999999994</v>
      </c>
      <c r="L48">
        <v>411981.07964475802</v>
      </c>
      <c r="M48">
        <v>42212.8187671212</v>
      </c>
      <c r="N48">
        <v>596377.79395982798</v>
      </c>
      <c r="O48">
        <v>142183.89554794799</v>
      </c>
      <c r="Q48">
        <v>8729.0059999999994</v>
      </c>
      <c r="R48">
        <v>64222.149064087302</v>
      </c>
      <c r="T48">
        <v>8705.0059999999994</v>
      </c>
      <c r="U48">
        <v>72109.571861736593</v>
      </c>
    </row>
    <row r="49" spans="6:21" x14ac:dyDescent="0.25">
      <c r="F49">
        <v>8730.0059999999994</v>
      </c>
      <c r="G49">
        <v>6752.8202814021697</v>
      </c>
      <c r="H49">
        <v>34662.603955764702</v>
      </c>
      <c r="I49">
        <v>51993.905933647096</v>
      </c>
      <c r="K49">
        <v>8730.0059999999994</v>
      </c>
      <c r="L49">
        <v>412045.69521795202</v>
      </c>
      <c r="M49">
        <v>42217.654141550403</v>
      </c>
      <c r="N49">
        <v>596463.53172252001</v>
      </c>
      <c r="O49">
        <v>142200.182363017</v>
      </c>
      <c r="Q49">
        <v>8730.0059999999994</v>
      </c>
      <c r="R49">
        <v>64238.265883640401</v>
      </c>
      <c r="T49">
        <v>8706.0059999999994</v>
      </c>
      <c r="U49">
        <v>72129.2858617366</v>
      </c>
    </row>
    <row r="50" spans="6:21" x14ac:dyDescent="0.25">
      <c r="F50">
        <v>8731.0059999999994</v>
      </c>
      <c r="G50">
        <v>6752.8202814021697</v>
      </c>
      <c r="H50">
        <v>34662.603955764702</v>
      </c>
      <c r="I50">
        <v>51993.905933647096</v>
      </c>
      <c r="K50">
        <v>8731.0059999999994</v>
      </c>
      <c r="L50">
        <v>412091.68017035502</v>
      </c>
      <c r="M50">
        <v>42222.4895159796</v>
      </c>
      <c r="N50">
        <v>596530.63886442001</v>
      </c>
      <c r="O50">
        <v>142216.46917808501</v>
      </c>
      <c r="Q50">
        <v>8731.0059999999994</v>
      </c>
      <c r="R50">
        <v>64249.2275177927</v>
      </c>
      <c r="T50">
        <v>8707.0059999999994</v>
      </c>
      <c r="U50">
        <v>72140.361861736601</v>
      </c>
    </row>
    <row r="51" spans="6:21" x14ac:dyDescent="0.25">
      <c r="F51">
        <v>8732.0059999999994</v>
      </c>
      <c r="G51">
        <v>6752.8202814021697</v>
      </c>
      <c r="H51">
        <v>34662.603955764702</v>
      </c>
      <c r="I51">
        <v>51993.905933647096</v>
      </c>
      <c r="K51">
        <v>8732.0059999999994</v>
      </c>
      <c r="L51">
        <v>412141.20666370599</v>
      </c>
      <c r="M51">
        <v>42227.324890408803</v>
      </c>
      <c r="N51">
        <v>596601.28754726995</v>
      </c>
      <c r="O51">
        <v>142232.75599315399</v>
      </c>
      <c r="Q51">
        <v>8732.0059999999994</v>
      </c>
      <c r="R51">
        <v>64258.931520638202</v>
      </c>
      <c r="T51">
        <v>8708.0059999999994</v>
      </c>
      <c r="U51">
        <v>72147.470861736598</v>
      </c>
    </row>
    <row r="52" spans="6:21" x14ac:dyDescent="0.25">
      <c r="F52">
        <v>8733.0059999999994</v>
      </c>
      <c r="G52">
        <v>6752.8202814021697</v>
      </c>
      <c r="H52">
        <v>34662.603955764702</v>
      </c>
      <c r="I52">
        <v>51993.905933647096</v>
      </c>
      <c r="K52">
        <v>8733.0059999999994</v>
      </c>
      <c r="L52">
        <v>412186.19819035701</v>
      </c>
      <c r="M52">
        <v>42232.160264838101</v>
      </c>
      <c r="N52">
        <v>596667.40126341803</v>
      </c>
      <c r="O52">
        <v>142249.042808222</v>
      </c>
      <c r="Q52">
        <v>8733.0059999999994</v>
      </c>
      <c r="R52">
        <v>64267.815775867297</v>
      </c>
      <c r="T52">
        <v>8709.0059999999994</v>
      </c>
      <c r="U52">
        <v>72150.871861736596</v>
      </c>
    </row>
    <row r="53" spans="6:21" x14ac:dyDescent="0.25">
      <c r="F53">
        <v>8734.0059999999994</v>
      </c>
      <c r="G53">
        <v>6752.8202814021697</v>
      </c>
      <c r="H53">
        <v>34662.603955764702</v>
      </c>
      <c r="I53">
        <v>51993.905933647096</v>
      </c>
      <c r="K53">
        <v>8734.0059999999994</v>
      </c>
      <c r="L53">
        <v>412216.02609720698</v>
      </c>
      <c r="M53">
        <v>42236.995639267298</v>
      </c>
      <c r="N53">
        <v>596718.35135976598</v>
      </c>
      <c r="O53">
        <v>142265.32962329101</v>
      </c>
      <c r="Q53">
        <v>8734.0059999999994</v>
      </c>
      <c r="R53">
        <v>64273.354664293402</v>
      </c>
      <c r="T53">
        <v>8710.0059999999994</v>
      </c>
      <c r="U53">
        <v>72152.624861736607</v>
      </c>
    </row>
    <row r="54" spans="6:21" x14ac:dyDescent="0.25">
      <c r="F54">
        <v>8735.0059999999994</v>
      </c>
      <c r="G54">
        <v>6752.8202814021697</v>
      </c>
      <c r="H54">
        <v>34662.603955764702</v>
      </c>
      <c r="I54">
        <v>51993.905933647096</v>
      </c>
      <c r="K54">
        <v>8735.0059999999994</v>
      </c>
      <c r="L54">
        <v>412233.90810964798</v>
      </c>
      <c r="M54">
        <v>42241.831013696501</v>
      </c>
      <c r="N54">
        <v>596757.35556170403</v>
      </c>
      <c r="O54">
        <v>142281.61643835899</v>
      </c>
      <c r="Q54">
        <v>8735.0059999999994</v>
      </c>
      <c r="R54">
        <v>64276.773654750199</v>
      </c>
      <c r="T54">
        <v>8711.0059999999994</v>
      </c>
      <c r="U54">
        <v>72152.070861736604</v>
      </c>
    </row>
    <row r="55" spans="6:21" x14ac:dyDescent="0.25">
      <c r="F55">
        <v>8736.0059999999994</v>
      </c>
      <c r="G55">
        <v>6752.8210148754897</v>
      </c>
      <c r="H55">
        <v>34662.603955764702</v>
      </c>
      <c r="I55">
        <v>51993.905933647096</v>
      </c>
      <c r="K55">
        <v>8736.0059999999994</v>
      </c>
      <c r="L55">
        <v>412233.90810964798</v>
      </c>
      <c r="M55">
        <v>42246.666388125697</v>
      </c>
      <c r="N55">
        <v>596778.47775120195</v>
      </c>
      <c r="O55">
        <v>142297.903253428</v>
      </c>
      <c r="Q55">
        <v>8736.0059999999994</v>
      </c>
      <c r="R55">
        <v>64276.773029424403</v>
      </c>
      <c r="T55">
        <v>8712.0059999999994</v>
      </c>
      <c r="U55">
        <v>72149.496861736596</v>
      </c>
    </row>
    <row r="56" spans="6:21" x14ac:dyDescent="0.25">
      <c r="F56">
        <v>8737.0059999999994</v>
      </c>
      <c r="G56">
        <v>6754.6503978845803</v>
      </c>
      <c r="H56">
        <v>34662.603955764702</v>
      </c>
      <c r="I56">
        <v>51993.905933647096</v>
      </c>
      <c r="K56">
        <v>8737.0059999999994</v>
      </c>
      <c r="L56">
        <v>412233.90810964798</v>
      </c>
      <c r="M56">
        <v>42251.501762554901</v>
      </c>
      <c r="N56">
        <v>596799.59994069999</v>
      </c>
      <c r="O56">
        <v>142314.19006849601</v>
      </c>
      <c r="Q56">
        <v>8737.0059999999994</v>
      </c>
      <c r="R56">
        <v>64275.201120408303</v>
      </c>
      <c r="T56">
        <v>8713.0059999999994</v>
      </c>
      <c r="U56">
        <v>72146.051861736603</v>
      </c>
    </row>
    <row r="57" spans="6:21" x14ac:dyDescent="0.25">
      <c r="F57">
        <v>8738.0059999999994</v>
      </c>
      <c r="G57">
        <v>6756.7901659133404</v>
      </c>
      <c r="H57">
        <v>34662.603955764702</v>
      </c>
      <c r="I57">
        <v>51993.905933647096</v>
      </c>
      <c r="K57">
        <v>8738.0059999999994</v>
      </c>
      <c r="L57">
        <v>412233.90810964798</v>
      </c>
      <c r="M57">
        <v>42256.337136984199</v>
      </c>
      <c r="N57">
        <v>596820.72213019803</v>
      </c>
      <c r="O57">
        <v>142330.47688356499</v>
      </c>
      <c r="Q57">
        <v>8738.0059999999994</v>
      </c>
      <c r="R57">
        <v>64273.297707776597</v>
      </c>
      <c r="T57">
        <v>8714.0059999999994</v>
      </c>
      <c r="U57">
        <v>72142.057861736597</v>
      </c>
    </row>
    <row r="58" spans="6:21" x14ac:dyDescent="0.25">
      <c r="F58">
        <v>8739.0059999999994</v>
      </c>
      <c r="G58">
        <v>6759.7798083256002</v>
      </c>
      <c r="H58">
        <v>34662.603955764702</v>
      </c>
      <c r="I58">
        <v>51993.905933647096</v>
      </c>
      <c r="K58">
        <v>8739.0059999999994</v>
      </c>
      <c r="L58">
        <v>412233.90810964798</v>
      </c>
      <c r="M58">
        <v>42261.172511413402</v>
      </c>
      <c r="N58">
        <v>596841.84431969502</v>
      </c>
      <c r="O58">
        <v>142346.763698633</v>
      </c>
      <c r="Q58">
        <v>8739.0059999999994</v>
      </c>
      <c r="R58">
        <v>64270.648727948799</v>
      </c>
      <c r="T58">
        <v>8715.0059999999994</v>
      </c>
      <c r="U58">
        <v>72136.853861736599</v>
      </c>
    </row>
    <row r="59" spans="6:21" x14ac:dyDescent="0.25">
      <c r="F59">
        <v>8740.0059999999994</v>
      </c>
      <c r="G59">
        <v>6763.1588137231602</v>
      </c>
      <c r="H59">
        <v>34662.603955764702</v>
      </c>
      <c r="I59">
        <v>51993.905933647096</v>
      </c>
      <c r="K59">
        <v>8740.0059999999994</v>
      </c>
      <c r="L59">
        <v>412233.90810964798</v>
      </c>
      <c r="M59">
        <v>42266.007885842599</v>
      </c>
      <c r="N59">
        <v>596862.96650919295</v>
      </c>
      <c r="O59">
        <v>142363.05051370201</v>
      </c>
      <c r="Q59">
        <v>8740.0059999999994</v>
      </c>
      <c r="R59">
        <v>64267.844125633499</v>
      </c>
      <c r="T59">
        <v>8716.0059999999994</v>
      </c>
      <c r="U59">
        <v>72132.005861736601</v>
      </c>
    </row>
    <row r="60" spans="6:21" x14ac:dyDescent="0.25">
      <c r="F60">
        <v>8741.0059999999994</v>
      </c>
      <c r="G60">
        <v>6766.1956203765603</v>
      </c>
      <c r="H60">
        <v>34662.603955764702</v>
      </c>
      <c r="I60">
        <v>51993.905933647096</v>
      </c>
      <c r="K60">
        <v>8741.0059999999994</v>
      </c>
      <c r="L60">
        <v>412233.90810964798</v>
      </c>
      <c r="M60">
        <v>42270.843260271897</v>
      </c>
      <c r="N60">
        <v>596884.08869869099</v>
      </c>
      <c r="O60">
        <v>142379.33732876999</v>
      </c>
      <c r="Q60">
        <v>8741.0059999999994</v>
      </c>
      <c r="R60">
        <v>64265.354291312397</v>
      </c>
      <c r="T60">
        <v>8717.0059999999994</v>
      </c>
      <c r="U60">
        <v>72127.575861736594</v>
      </c>
    </row>
    <row r="61" spans="6:21" x14ac:dyDescent="0.25">
      <c r="F61">
        <v>8742.0059999999994</v>
      </c>
      <c r="G61">
        <v>6768.3292539983004</v>
      </c>
      <c r="H61">
        <v>34662.603955764702</v>
      </c>
      <c r="I61">
        <v>51993.905933647096</v>
      </c>
      <c r="K61">
        <v>8742.0059999999994</v>
      </c>
      <c r="L61">
        <v>412233.90810964798</v>
      </c>
      <c r="M61">
        <v>42275.6786347011</v>
      </c>
      <c r="N61">
        <v>596905.21088818798</v>
      </c>
      <c r="O61">
        <v>142395.624143839</v>
      </c>
      <c r="Q61">
        <v>8742.0059999999994</v>
      </c>
      <c r="R61">
        <v>64263.648807493497</v>
      </c>
      <c r="T61">
        <v>8718.0059999999994</v>
      </c>
      <c r="U61">
        <v>72123.677861736607</v>
      </c>
    </row>
    <row r="62" spans="6:21" x14ac:dyDescent="0.25">
      <c r="F62">
        <v>8743.0059999999994</v>
      </c>
      <c r="G62">
        <v>6768.8712179568602</v>
      </c>
      <c r="H62">
        <v>34662.603955764702</v>
      </c>
      <c r="I62">
        <v>51993.905933647096</v>
      </c>
      <c r="K62">
        <v>8743.0059999999994</v>
      </c>
      <c r="L62">
        <v>412233.90810964798</v>
      </c>
      <c r="M62">
        <v>42280.514009130296</v>
      </c>
      <c r="N62">
        <v>596926.33307768602</v>
      </c>
      <c r="O62">
        <v>142411.91095890701</v>
      </c>
      <c r="Q62">
        <v>8743.0059999999994</v>
      </c>
      <c r="R62">
        <v>64263.215852305701</v>
      </c>
      <c r="T62">
        <v>8719.0059999999994</v>
      </c>
      <c r="U62">
        <v>72119.894861736597</v>
      </c>
    </row>
    <row r="63" spans="6:21" x14ac:dyDescent="0.25">
      <c r="F63">
        <v>8744.0059999999994</v>
      </c>
      <c r="G63">
        <v>6768.8712179568602</v>
      </c>
      <c r="H63">
        <v>34662.603955764702</v>
      </c>
      <c r="I63">
        <v>51993.905933647096</v>
      </c>
      <c r="K63">
        <v>8744.0059999999994</v>
      </c>
      <c r="L63">
        <v>412243.737374991</v>
      </c>
      <c r="M63">
        <v>42285.3493835595</v>
      </c>
      <c r="N63">
        <v>596957.28453252697</v>
      </c>
      <c r="O63">
        <v>142428.19777397599</v>
      </c>
      <c r="Q63">
        <v>8744.0059999999994</v>
      </c>
      <c r="R63">
        <v>64264.981442010801</v>
      </c>
      <c r="T63">
        <v>8720.0059999999994</v>
      </c>
      <c r="U63">
        <v>72118.297861736602</v>
      </c>
    </row>
    <row r="64" spans="6:21" x14ac:dyDescent="0.25">
      <c r="F64">
        <v>8745.0059999999994</v>
      </c>
      <c r="G64">
        <v>6768.8712179568602</v>
      </c>
      <c r="H64">
        <v>34662.603955764702</v>
      </c>
      <c r="I64">
        <v>51993.905933647096</v>
      </c>
      <c r="K64">
        <v>8745.0059999999994</v>
      </c>
      <c r="L64">
        <v>412255.48295585398</v>
      </c>
      <c r="M64">
        <v>42290.184757988703</v>
      </c>
      <c r="N64">
        <v>596990.15230288799</v>
      </c>
      <c r="O64">
        <v>142444.484589044</v>
      </c>
      <c r="Q64">
        <v>8745.0059999999994</v>
      </c>
      <c r="R64">
        <v>64267.127769204002</v>
      </c>
      <c r="T64">
        <v>8721.0059999999994</v>
      </c>
      <c r="U64">
        <v>72117.738861736594</v>
      </c>
    </row>
    <row r="65" spans="6:21" x14ac:dyDescent="0.25">
      <c r="F65">
        <v>8746.0059999999994</v>
      </c>
      <c r="G65">
        <v>6768.8712179568602</v>
      </c>
      <c r="H65">
        <v>34662.603955764702</v>
      </c>
      <c r="I65">
        <v>51993.905933647096</v>
      </c>
      <c r="K65">
        <v>8746.0059999999994</v>
      </c>
      <c r="L65">
        <v>412265.95128030999</v>
      </c>
      <c r="M65">
        <v>42295.020132418002</v>
      </c>
      <c r="N65">
        <v>597021.742816841</v>
      </c>
      <c r="O65">
        <v>142460.77140411199</v>
      </c>
      <c r="Q65">
        <v>8746.0059999999994</v>
      </c>
      <c r="R65">
        <v>64268.990561808801</v>
      </c>
      <c r="T65">
        <v>8722.0059999999994</v>
      </c>
      <c r="U65">
        <v>72115.962861736596</v>
      </c>
    </row>
    <row r="66" spans="6:21" x14ac:dyDescent="0.25">
      <c r="F66">
        <v>8747.0059999999994</v>
      </c>
      <c r="G66">
        <v>6768.8712179568602</v>
      </c>
      <c r="H66">
        <v>34662.603955764702</v>
      </c>
      <c r="I66">
        <v>51993.905933647096</v>
      </c>
      <c r="K66">
        <v>8747.0059999999994</v>
      </c>
      <c r="L66">
        <v>412282.43196719198</v>
      </c>
      <c r="M66">
        <v>42299.855506847198</v>
      </c>
      <c r="N66">
        <v>597059.34569322097</v>
      </c>
      <c r="O66">
        <v>142477.058219181</v>
      </c>
      <c r="Q66">
        <v>8747.0059999999994</v>
      </c>
      <c r="R66">
        <v>64271.952517689002</v>
      </c>
      <c r="T66">
        <v>8723.0059999999994</v>
      </c>
      <c r="U66">
        <v>72114.366861736606</v>
      </c>
    </row>
    <row r="67" spans="6:21" x14ac:dyDescent="0.25">
      <c r="F67">
        <v>8748.0059999999994</v>
      </c>
      <c r="G67">
        <v>6768.8712179568602</v>
      </c>
      <c r="H67">
        <v>34663.0069839813</v>
      </c>
      <c r="I67">
        <v>51994.510475971903</v>
      </c>
      <c r="K67">
        <v>8748.0059999999994</v>
      </c>
      <c r="L67">
        <v>412295.49516640499</v>
      </c>
      <c r="M67">
        <v>42304.690881276401</v>
      </c>
      <c r="N67">
        <v>597093.53108193201</v>
      </c>
      <c r="O67">
        <v>142493.34503424901</v>
      </c>
      <c r="Q67">
        <v>8748.0059999999994</v>
      </c>
      <c r="R67">
        <v>64274.0048986291</v>
      </c>
      <c r="T67">
        <v>8724.0059999999994</v>
      </c>
      <c r="U67">
        <v>72112.928861736596</v>
      </c>
    </row>
    <row r="68" spans="6:21" x14ac:dyDescent="0.25">
      <c r="F68">
        <v>8749.0059999999994</v>
      </c>
      <c r="G68">
        <v>6768.8712179568602</v>
      </c>
      <c r="H68">
        <v>34663.0069839813</v>
      </c>
      <c r="I68">
        <v>51994.510475971903</v>
      </c>
      <c r="K68">
        <v>8749.0059999999994</v>
      </c>
      <c r="L68">
        <v>412309.62939724699</v>
      </c>
      <c r="M68">
        <v>42309.526255705598</v>
      </c>
      <c r="N68">
        <v>597128.78750227101</v>
      </c>
      <c r="O68">
        <v>142509.63184931799</v>
      </c>
      <c r="Q68">
        <v>8749.0059999999994</v>
      </c>
      <c r="R68">
        <v>64276.474550303203</v>
      </c>
      <c r="T68">
        <v>8725.0059999999994</v>
      </c>
      <c r="U68">
        <v>72112.524861736601</v>
      </c>
    </row>
    <row r="69" spans="6:21" x14ac:dyDescent="0.25">
      <c r="F69">
        <v>8750.0059999999994</v>
      </c>
      <c r="G69">
        <v>6768.8712179568602</v>
      </c>
      <c r="H69">
        <v>34663.023840289403</v>
      </c>
      <c r="I69">
        <v>51994.535760434097</v>
      </c>
      <c r="K69">
        <v>8750.0059999999994</v>
      </c>
      <c r="L69">
        <v>412323.59319542698</v>
      </c>
      <c r="M69">
        <v>42314.361630134903</v>
      </c>
      <c r="N69">
        <v>597163.87348994904</v>
      </c>
      <c r="O69">
        <v>142525.918664386</v>
      </c>
      <c r="Q69">
        <v>8750.0059999999994</v>
      </c>
      <c r="R69">
        <v>64278.894457750597</v>
      </c>
      <c r="T69">
        <v>8726.0059999999994</v>
      </c>
      <c r="U69">
        <v>72112.705861736598</v>
      </c>
    </row>
    <row r="70" spans="6:21" x14ac:dyDescent="0.25">
      <c r="F70">
        <v>8751.0059999999994</v>
      </c>
      <c r="G70">
        <v>6768.8712179568602</v>
      </c>
      <c r="H70">
        <v>34663.149025550701</v>
      </c>
      <c r="I70">
        <v>51994.7235383261</v>
      </c>
      <c r="K70">
        <v>8751.0059999999994</v>
      </c>
      <c r="L70">
        <v>412341.08071624802</v>
      </c>
      <c r="M70">
        <v>42319.197004564099</v>
      </c>
      <c r="N70">
        <v>597202.48320026696</v>
      </c>
      <c r="O70">
        <v>142542.20547945501</v>
      </c>
      <c r="Q70">
        <v>8751.0059999999994</v>
      </c>
      <c r="R70">
        <v>64281.602117069</v>
      </c>
      <c r="T70">
        <v>8727.0059999999994</v>
      </c>
      <c r="U70">
        <v>72119.025861736605</v>
      </c>
    </row>
    <row r="71" spans="6:21" x14ac:dyDescent="0.25">
      <c r="F71">
        <v>8752.0059999999994</v>
      </c>
      <c r="G71">
        <v>6768.8712179568602</v>
      </c>
      <c r="H71">
        <v>34663.149025550701</v>
      </c>
      <c r="I71">
        <v>51994.7235383261</v>
      </c>
      <c r="K71">
        <v>8752.0059999999994</v>
      </c>
      <c r="L71">
        <v>412373.41387697199</v>
      </c>
      <c r="M71">
        <v>42324.032378993303</v>
      </c>
      <c r="N71">
        <v>597255.93855048902</v>
      </c>
      <c r="O71">
        <v>142558.49229452299</v>
      </c>
      <c r="Q71">
        <v>8752.0059999999994</v>
      </c>
      <c r="R71">
        <v>64286.668915075003</v>
      </c>
      <c r="T71">
        <v>8728.0059999999994</v>
      </c>
      <c r="U71">
        <v>72129.337861736596</v>
      </c>
    </row>
    <row r="72" spans="6:21" x14ac:dyDescent="0.25">
      <c r="F72">
        <v>8753.0059999999994</v>
      </c>
      <c r="G72">
        <v>6768.8712179568602</v>
      </c>
      <c r="H72">
        <v>34663.163225241296</v>
      </c>
      <c r="I72">
        <v>51994.744837862003</v>
      </c>
      <c r="K72">
        <v>8753.0059999999994</v>
      </c>
      <c r="L72">
        <v>412429.38344801299</v>
      </c>
      <c r="M72">
        <v>42328.867753422499</v>
      </c>
      <c r="N72">
        <v>597333.03031102801</v>
      </c>
      <c r="O72">
        <v>142574.779109592</v>
      </c>
      <c r="Q72">
        <v>8753.0059999999994</v>
      </c>
      <c r="R72">
        <v>64295.647793556302</v>
      </c>
      <c r="T72">
        <v>8729.0059999999994</v>
      </c>
      <c r="U72">
        <v>72147.880861736601</v>
      </c>
    </row>
    <row r="73" spans="6:21" x14ac:dyDescent="0.25">
      <c r="F73">
        <v>8754.0059999999994</v>
      </c>
      <c r="G73">
        <v>6768.8712179568602</v>
      </c>
      <c r="H73">
        <v>34663.171556021902</v>
      </c>
      <c r="I73">
        <v>51994.757334032904</v>
      </c>
      <c r="K73">
        <v>8754.0059999999994</v>
      </c>
      <c r="L73">
        <v>412483.04589359398</v>
      </c>
      <c r="M73">
        <v>42333.703127851702</v>
      </c>
      <c r="N73">
        <v>597407.81494610605</v>
      </c>
      <c r="O73">
        <v>142591.06592466001</v>
      </c>
      <c r="Q73">
        <v>8754.0059999999994</v>
      </c>
      <c r="R73">
        <v>64304.089325355802</v>
      </c>
      <c r="T73">
        <v>8730.0059999999994</v>
      </c>
      <c r="U73">
        <v>72163.996861736596</v>
      </c>
    </row>
    <row r="74" spans="6:21" x14ac:dyDescent="0.25">
      <c r="F74">
        <v>8755.0059999999994</v>
      </c>
      <c r="G74">
        <v>6768.8712179568602</v>
      </c>
      <c r="H74">
        <v>34663.176403843201</v>
      </c>
      <c r="I74">
        <v>51994.764605764802</v>
      </c>
      <c r="K74">
        <v>8755.0059999999994</v>
      </c>
      <c r="L74">
        <v>412509.12958140502</v>
      </c>
      <c r="M74">
        <v>42338.538502281001</v>
      </c>
      <c r="N74">
        <v>597455.02082341502</v>
      </c>
      <c r="O74">
        <v>142607.35273972899</v>
      </c>
      <c r="Q74">
        <v>8755.0059999999994</v>
      </c>
      <c r="R74">
        <v>64307.848372924498</v>
      </c>
      <c r="T74">
        <v>8731.0059999999994</v>
      </c>
      <c r="U74">
        <v>72174.958861736595</v>
      </c>
    </row>
    <row r="75" spans="6:21" x14ac:dyDescent="0.25">
      <c r="F75">
        <v>8756.0059999999994</v>
      </c>
      <c r="G75">
        <v>6768.8712179568602</v>
      </c>
      <c r="H75">
        <v>34663.181545020998</v>
      </c>
      <c r="I75">
        <v>51994.772317531599</v>
      </c>
      <c r="K75">
        <v>8756.0059999999994</v>
      </c>
      <c r="L75">
        <v>412542.39005304599</v>
      </c>
      <c r="M75">
        <v>42343.373876710197</v>
      </c>
      <c r="N75">
        <v>597509.40348455403</v>
      </c>
      <c r="O75">
        <v>142623.639554797</v>
      </c>
      <c r="Q75">
        <v>8756.0059999999994</v>
      </c>
      <c r="R75">
        <v>64312.615128784098</v>
      </c>
      <c r="T75">
        <v>8732.0059999999994</v>
      </c>
      <c r="U75">
        <v>72184.662861736593</v>
      </c>
    </row>
    <row r="76" spans="6:21" x14ac:dyDescent="0.25">
      <c r="F76">
        <v>8757.0059999999994</v>
      </c>
      <c r="G76">
        <v>6768.8712179568602</v>
      </c>
      <c r="H76">
        <v>34663.181545020998</v>
      </c>
      <c r="I76">
        <v>51994.772317531599</v>
      </c>
      <c r="K76">
        <v>8757.0059999999994</v>
      </c>
      <c r="L76">
        <v>412556.23602335202</v>
      </c>
      <c r="M76">
        <v>42348.2092511394</v>
      </c>
      <c r="N76">
        <v>597544.37164435699</v>
      </c>
      <c r="O76">
        <v>142639.92636986601</v>
      </c>
      <c r="Q76">
        <v>8757.0059999999994</v>
      </c>
      <c r="R76">
        <v>64314.575805936402</v>
      </c>
      <c r="T76">
        <v>8733.0059999999994</v>
      </c>
      <c r="U76">
        <v>72193.546861736599</v>
      </c>
    </row>
    <row r="77" spans="6:21" x14ac:dyDescent="0.25">
      <c r="F77">
        <v>8758.0059999999994</v>
      </c>
      <c r="G77">
        <v>6768.8712179568602</v>
      </c>
      <c r="H77">
        <v>34663.181545020998</v>
      </c>
      <c r="I77">
        <v>51994.772317531599</v>
      </c>
      <c r="K77">
        <v>8758.0059999999994</v>
      </c>
      <c r="L77">
        <v>412566.07214813703</v>
      </c>
      <c r="M77">
        <v>42353.044625568597</v>
      </c>
      <c r="N77">
        <v>597575.32995864097</v>
      </c>
      <c r="O77">
        <v>142656.21318493399</v>
      </c>
      <c r="Q77">
        <v>8758.0059999999994</v>
      </c>
      <c r="R77">
        <v>64316.0039963491</v>
      </c>
      <c r="T77">
        <v>8734.0059999999994</v>
      </c>
      <c r="U77">
        <v>72199.085861736603</v>
      </c>
    </row>
    <row r="78" spans="6:21" x14ac:dyDescent="0.25">
      <c r="F78">
        <v>8759.0059999999994</v>
      </c>
      <c r="G78">
        <v>6768.8712179568602</v>
      </c>
      <c r="H78">
        <v>34663.186894152699</v>
      </c>
      <c r="I78">
        <v>51994.780341229001</v>
      </c>
      <c r="K78">
        <v>8759.0059999999994</v>
      </c>
      <c r="L78">
        <v>412566.659095924</v>
      </c>
      <c r="M78">
        <v>42357.879999997902</v>
      </c>
      <c r="N78">
        <v>597597.03909592598</v>
      </c>
      <c r="O78">
        <v>142672.500000003</v>
      </c>
      <c r="Q78">
        <v>8759.0059999999994</v>
      </c>
      <c r="R78">
        <v>64316.093084269203</v>
      </c>
      <c r="T78">
        <v>8735.0059999999994</v>
      </c>
      <c r="U78">
        <v>72202.504861736597</v>
      </c>
    </row>
    <row r="79" spans="6:21" x14ac:dyDescent="0.25">
      <c r="F79">
        <v>8760.0059999999994</v>
      </c>
      <c r="G79">
        <v>6770.9245183868097</v>
      </c>
      <c r="H79">
        <v>34663.186894152699</v>
      </c>
      <c r="I79">
        <v>51994.780341229001</v>
      </c>
      <c r="K79">
        <v>8760.0059999999994</v>
      </c>
      <c r="L79">
        <v>412566.659095924</v>
      </c>
      <c r="M79">
        <v>42362.715374427098</v>
      </c>
      <c r="N79">
        <v>597618.16128542298</v>
      </c>
      <c r="O79">
        <v>142688.78681507101</v>
      </c>
      <c r="Q79">
        <v>8760.0059999999994</v>
      </c>
      <c r="R79">
        <v>64314.273739732198</v>
      </c>
      <c r="T79">
        <v>8736.0059999999994</v>
      </c>
      <c r="U79">
        <v>72202.504861736597</v>
      </c>
    </row>
    <row r="80" spans="6:21" x14ac:dyDescent="0.25">
      <c r="F80">
        <v>8761.0059999999994</v>
      </c>
      <c r="G80">
        <v>6773.8641812263104</v>
      </c>
      <c r="H80">
        <v>34663.186894152699</v>
      </c>
      <c r="I80">
        <v>51994.780341229001</v>
      </c>
      <c r="K80">
        <v>8761.0059999999994</v>
      </c>
      <c r="L80">
        <v>412566.659095924</v>
      </c>
      <c r="M80">
        <v>42367.550748856302</v>
      </c>
      <c r="N80">
        <v>597639.28347492102</v>
      </c>
      <c r="O80">
        <v>142705.07363013999</v>
      </c>
      <c r="Q80">
        <v>8761.0059999999994</v>
      </c>
      <c r="R80">
        <v>64311.344601779201</v>
      </c>
      <c r="T80">
        <v>8737.0059999999994</v>
      </c>
      <c r="U80">
        <v>72200.932861736597</v>
      </c>
    </row>
    <row r="81" spans="6:21" x14ac:dyDescent="0.25">
      <c r="F81">
        <v>8762.0059999999994</v>
      </c>
      <c r="G81">
        <v>6777.34363255269</v>
      </c>
      <c r="H81">
        <v>34663.186894152699</v>
      </c>
      <c r="I81">
        <v>51994.780341229001</v>
      </c>
      <c r="K81">
        <v>8762.0059999999994</v>
      </c>
      <c r="L81">
        <v>412566.659095924</v>
      </c>
      <c r="M81">
        <v>42372.386123285498</v>
      </c>
      <c r="N81">
        <v>597660.40566441906</v>
      </c>
      <c r="O81">
        <v>142721.360445208</v>
      </c>
      <c r="Q81">
        <v>8762.0059999999994</v>
      </c>
      <c r="R81">
        <v>64307.694720468899</v>
      </c>
      <c r="T81">
        <v>8738.0059999999994</v>
      </c>
      <c r="U81">
        <v>72199.028861736602</v>
      </c>
    </row>
    <row r="82" spans="6:21" x14ac:dyDescent="0.25">
      <c r="F82">
        <v>8763.0059999999994</v>
      </c>
      <c r="G82">
        <v>6779.0280286893303</v>
      </c>
      <c r="H82">
        <v>34663.190004972697</v>
      </c>
      <c r="I82">
        <v>51994.785007459002</v>
      </c>
      <c r="K82">
        <v>8763.0059999999994</v>
      </c>
      <c r="L82">
        <v>412566.65598510398</v>
      </c>
      <c r="M82">
        <v>42377.221497714803</v>
      </c>
      <c r="N82">
        <v>597681.52474309597</v>
      </c>
      <c r="O82">
        <v>142737.64726027701</v>
      </c>
      <c r="Q82">
        <v>8763.0059999999994</v>
      </c>
      <c r="R82">
        <v>64303.717678620698</v>
      </c>
      <c r="T82">
        <v>8739.0059999999994</v>
      </c>
      <c r="U82">
        <v>72196.379861736597</v>
      </c>
    </row>
    <row r="83" spans="6:21" x14ac:dyDescent="0.25">
      <c r="F83">
        <v>8764.0059999999994</v>
      </c>
      <c r="G83">
        <v>6779.7482534698102</v>
      </c>
      <c r="H83">
        <v>34663.1909837247</v>
      </c>
      <c r="I83">
        <v>51994.786475587003</v>
      </c>
      <c r="K83">
        <v>8764.0059999999994</v>
      </c>
      <c r="L83">
        <v>412566.655006352</v>
      </c>
      <c r="M83">
        <v>42382.056872143999</v>
      </c>
      <c r="N83">
        <v>597702.64595384197</v>
      </c>
      <c r="O83">
        <v>142753.93407534499</v>
      </c>
      <c r="Q83">
        <v>8764.0059999999994</v>
      </c>
      <c r="R83">
        <v>64298.685112320403</v>
      </c>
      <c r="T83">
        <v>8740.0059999999994</v>
      </c>
      <c r="U83">
        <v>72193.575861736594</v>
      </c>
    </row>
    <row r="84" spans="6:21" x14ac:dyDescent="0.25">
      <c r="F84">
        <v>8765.0059999999994</v>
      </c>
      <c r="G84">
        <v>6781.4354017884498</v>
      </c>
      <c r="H84">
        <v>34663.1909837247</v>
      </c>
      <c r="I84">
        <v>51994.786475587003</v>
      </c>
      <c r="K84">
        <v>8765.0059999999994</v>
      </c>
      <c r="L84">
        <v>412566.655006352</v>
      </c>
      <c r="M84">
        <v>42386.892246573203</v>
      </c>
      <c r="N84">
        <v>597723.76814334001</v>
      </c>
      <c r="O84">
        <v>142770.220890414</v>
      </c>
      <c r="Q84">
        <v>8765.0059999999994</v>
      </c>
      <c r="R84">
        <v>64293.163188468599</v>
      </c>
      <c r="T84">
        <v>8741.0059999999994</v>
      </c>
      <c r="U84">
        <v>72191.085861736603</v>
      </c>
    </row>
    <row r="85" spans="6:21" x14ac:dyDescent="0.25">
      <c r="F85">
        <v>8766.0059999999994</v>
      </c>
      <c r="G85">
        <v>6783.9243991441499</v>
      </c>
      <c r="H85">
        <v>34663.1909837247</v>
      </c>
      <c r="I85">
        <v>51994.786475587003</v>
      </c>
      <c r="K85">
        <v>8766.0059999999994</v>
      </c>
      <c r="L85">
        <v>412566.655006352</v>
      </c>
      <c r="M85">
        <v>42391.727621002399</v>
      </c>
      <c r="N85">
        <v>597744.89033283701</v>
      </c>
      <c r="O85">
        <v>142786.50770548201</v>
      </c>
      <c r="Q85">
        <v>8766.0059999999994</v>
      </c>
      <c r="R85">
        <v>64287.850353368303</v>
      </c>
      <c r="T85">
        <v>8742.0059999999994</v>
      </c>
      <c r="U85">
        <v>72189.379861736597</v>
      </c>
    </row>
    <row r="86" spans="6:21" x14ac:dyDescent="0.25">
      <c r="F86">
        <v>8767.0059999999994</v>
      </c>
      <c r="G86">
        <v>6787.4604557104403</v>
      </c>
      <c r="H86">
        <v>34663.1909837247</v>
      </c>
      <c r="I86">
        <v>51994.786475587003</v>
      </c>
      <c r="K86">
        <v>8767.0059999999994</v>
      </c>
      <c r="L86">
        <v>412566.655006352</v>
      </c>
      <c r="M86">
        <v>42396.562995431697</v>
      </c>
      <c r="N86">
        <v>597766.01252233505</v>
      </c>
      <c r="O86">
        <v>142802.79452055099</v>
      </c>
      <c r="Q86">
        <v>8767.0059999999994</v>
      </c>
      <c r="R86">
        <v>64283.940384835601</v>
      </c>
      <c r="T86">
        <v>8743.0059999999994</v>
      </c>
      <c r="U86">
        <v>72188.946861736593</v>
      </c>
    </row>
    <row r="87" spans="6:21" x14ac:dyDescent="0.25">
      <c r="F87">
        <v>8768.0059999999994</v>
      </c>
      <c r="G87">
        <v>6789.1655739550497</v>
      </c>
      <c r="H87">
        <v>34663.2089593407</v>
      </c>
      <c r="I87">
        <v>51994.813439010999</v>
      </c>
      <c r="K87">
        <v>8768.0059999999994</v>
      </c>
      <c r="L87">
        <v>412566.63703073602</v>
      </c>
      <c r="M87">
        <v>42401.398369860901</v>
      </c>
      <c r="N87">
        <v>597787.11673621705</v>
      </c>
      <c r="O87">
        <v>142819.081335619</v>
      </c>
      <c r="Q87">
        <v>8768.0059999999994</v>
      </c>
      <c r="R87">
        <v>64282.300188305599</v>
      </c>
      <c r="T87">
        <v>8744.0059999999994</v>
      </c>
      <c r="U87">
        <v>72190.712861736596</v>
      </c>
    </row>
    <row r="88" spans="6:21" x14ac:dyDescent="0.25">
      <c r="F88">
        <v>8769.0059999999994</v>
      </c>
      <c r="G88">
        <v>6789.1655739550497</v>
      </c>
      <c r="H88">
        <v>34663.2135785727</v>
      </c>
      <c r="I88">
        <v>51994.820367859</v>
      </c>
      <c r="K88">
        <v>8769.0059999999994</v>
      </c>
      <c r="L88">
        <v>412568.20111588202</v>
      </c>
      <c r="M88">
        <v>42406.233744290097</v>
      </c>
      <c r="N88">
        <v>597809.80301085999</v>
      </c>
      <c r="O88">
        <v>142835.36815068801</v>
      </c>
      <c r="Q88">
        <v>8769.0059999999994</v>
      </c>
      <c r="R88">
        <v>64282.602205974203</v>
      </c>
      <c r="T88">
        <v>8745.0059999999994</v>
      </c>
      <c r="U88">
        <v>72192.858861736604</v>
      </c>
    </row>
    <row r="89" spans="6:21" x14ac:dyDescent="0.25">
      <c r="F89">
        <v>8770.0059999999994</v>
      </c>
      <c r="G89">
        <v>6789.1655739550497</v>
      </c>
      <c r="H89">
        <v>34663.367138985901</v>
      </c>
      <c r="I89">
        <v>51995.050708478797</v>
      </c>
      <c r="K89">
        <v>8770.0059999999994</v>
      </c>
      <c r="L89">
        <v>412591.79921595898</v>
      </c>
      <c r="M89">
        <v>42411.069118719301</v>
      </c>
      <c r="N89">
        <v>597854.523300434</v>
      </c>
      <c r="O89">
        <v>142851.654965756</v>
      </c>
      <c r="Q89">
        <v>8770.0059999999994</v>
      </c>
      <c r="R89">
        <v>64287.098129377402</v>
      </c>
      <c r="T89">
        <v>8746.0059999999994</v>
      </c>
      <c r="U89">
        <v>72194.721861736602</v>
      </c>
    </row>
    <row r="90" spans="6:21" x14ac:dyDescent="0.25">
      <c r="F90">
        <v>8771.0059999999994</v>
      </c>
      <c r="G90">
        <v>6789.1655739550497</v>
      </c>
      <c r="H90">
        <v>34663.596774742997</v>
      </c>
      <c r="I90">
        <v>51995.395162114597</v>
      </c>
      <c r="K90">
        <v>8771.0059999999994</v>
      </c>
      <c r="L90">
        <v>412627.32934577699</v>
      </c>
      <c r="M90">
        <v>42415.904493148497</v>
      </c>
      <c r="N90">
        <v>597911.17561975005</v>
      </c>
      <c r="O90">
        <v>142867.941780825</v>
      </c>
      <c r="Q90">
        <v>8771.0059999999994</v>
      </c>
      <c r="R90">
        <v>64294.263355957701</v>
      </c>
      <c r="T90">
        <v>8747.0059999999994</v>
      </c>
      <c r="U90">
        <v>72197.683861736601</v>
      </c>
    </row>
    <row r="91" spans="6:21" x14ac:dyDescent="0.25">
      <c r="F91">
        <v>8772.0059999999994</v>
      </c>
      <c r="G91">
        <v>6789.1655739550497</v>
      </c>
      <c r="H91">
        <v>34663.718032539502</v>
      </c>
      <c r="I91">
        <v>51995.577048809297</v>
      </c>
      <c r="K91">
        <v>8772.0059999999994</v>
      </c>
      <c r="L91">
        <v>412674.09430175001</v>
      </c>
      <c r="M91">
        <v>42420.739867577802</v>
      </c>
      <c r="N91">
        <v>597979.062765221</v>
      </c>
      <c r="O91">
        <v>142884.22859589299</v>
      </c>
      <c r="Q91">
        <v>8772.0059999999994</v>
      </c>
      <c r="R91">
        <v>64304.488970797298</v>
      </c>
      <c r="T91">
        <v>8748.0059999999994</v>
      </c>
      <c r="U91">
        <v>72200.195861736604</v>
      </c>
    </row>
    <row r="92" spans="6:21" x14ac:dyDescent="0.25">
      <c r="F92">
        <v>8773.0059999999994</v>
      </c>
      <c r="G92">
        <v>6789.1655739550497</v>
      </c>
      <c r="H92">
        <v>34663.746902144499</v>
      </c>
      <c r="I92">
        <v>51995.6203532168</v>
      </c>
      <c r="K92">
        <v>8773.0059999999994</v>
      </c>
      <c r="L92">
        <v>412739.06540513202</v>
      </c>
      <c r="M92">
        <v>42425.575242006998</v>
      </c>
      <c r="N92">
        <v>598065.15605810098</v>
      </c>
      <c r="O92">
        <v>142900.515410961</v>
      </c>
      <c r="Q92">
        <v>8773.0059999999994</v>
      </c>
      <c r="R92">
        <v>64319.261701953401</v>
      </c>
      <c r="T92">
        <v>8749.0059999999994</v>
      </c>
      <c r="U92">
        <v>72202.790861736605</v>
      </c>
    </row>
    <row r="93" spans="6:21" x14ac:dyDescent="0.25">
      <c r="F93">
        <v>8774.0059999999994</v>
      </c>
      <c r="G93">
        <v>6789.1655739550497</v>
      </c>
      <c r="H93">
        <v>34663.746902144499</v>
      </c>
      <c r="I93">
        <v>51995.6203532168</v>
      </c>
      <c r="K93">
        <v>8774.0059999999994</v>
      </c>
      <c r="L93">
        <v>412805.01022273098</v>
      </c>
      <c r="M93">
        <v>42430.410616436202</v>
      </c>
      <c r="N93">
        <v>598152.223065197</v>
      </c>
      <c r="O93">
        <v>142916.80222603001</v>
      </c>
      <c r="Q93">
        <v>8774.0059999999994</v>
      </c>
      <c r="R93">
        <v>64335.3802018602</v>
      </c>
      <c r="T93">
        <v>8750.0059999999994</v>
      </c>
      <c r="U93">
        <v>72205.3918617366</v>
      </c>
    </row>
    <row r="94" spans="6:21" x14ac:dyDescent="0.25">
      <c r="F94">
        <v>8775.0059999999994</v>
      </c>
      <c r="G94">
        <v>6789.1655739550497</v>
      </c>
      <c r="H94">
        <v>34663.746902144499</v>
      </c>
      <c r="I94">
        <v>51995.6203532168</v>
      </c>
      <c r="K94">
        <v>8775.0059999999994</v>
      </c>
      <c r="L94">
        <v>412873.99559727899</v>
      </c>
      <c r="M94">
        <v>42435.2459908655</v>
      </c>
      <c r="N94">
        <v>598242.33062924305</v>
      </c>
      <c r="O94">
        <v>142933.08904109799</v>
      </c>
      <c r="Q94">
        <v>8775.0059999999994</v>
      </c>
      <c r="R94">
        <v>64352.756546430297</v>
      </c>
      <c r="T94">
        <v>8751.0059999999994</v>
      </c>
      <c r="U94">
        <v>72208.336861736607</v>
      </c>
    </row>
    <row r="95" spans="6:21" x14ac:dyDescent="0.25">
      <c r="F95">
        <v>8776.0059999999994</v>
      </c>
      <c r="G95">
        <v>6789.1655739550497</v>
      </c>
      <c r="H95">
        <v>34663.746902144499</v>
      </c>
      <c r="I95">
        <v>51995.6203532168</v>
      </c>
      <c r="K95">
        <v>8776.0059999999994</v>
      </c>
      <c r="L95">
        <v>412961.16062480799</v>
      </c>
      <c r="M95">
        <v>42440.081365294602</v>
      </c>
      <c r="N95">
        <v>598350.61784626998</v>
      </c>
      <c r="O95">
        <v>142949.375856167</v>
      </c>
      <c r="Q95">
        <v>8776.0059999999994</v>
      </c>
      <c r="R95">
        <v>64374.864642941298</v>
      </c>
      <c r="T95">
        <v>8752.0059999999994</v>
      </c>
      <c r="U95">
        <v>72213.558861736601</v>
      </c>
    </row>
    <row r="96" spans="6:21" x14ac:dyDescent="0.25">
      <c r="F96">
        <v>8777.0059999999994</v>
      </c>
      <c r="G96">
        <v>6789.1655739550497</v>
      </c>
      <c r="H96">
        <v>34663.746902144499</v>
      </c>
      <c r="I96">
        <v>51995.6203532168</v>
      </c>
      <c r="K96">
        <v>8777.0059999999994</v>
      </c>
      <c r="L96">
        <v>413069.53887756402</v>
      </c>
      <c r="M96">
        <v>42444.9167397239</v>
      </c>
      <c r="N96">
        <v>598480.11828852398</v>
      </c>
      <c r="O96">
        <v>142965.66267123501</v>
      </c>
      <c r="Q96">
        <v>8777.0059999999994</v>
      </c>
      <c r="R96">
        <v>64403.974580689697</v>
      </c>
      <c r="T96">
        <v>8753.0059999999994</v>
      </c>
      <c r="U96">
        <v>72222.693861736596</v>
      </c>
    </row>
    <row r="97" spans="6:21" x14ac:dyDescent="0.25">
      <c r="F97">
        <v>8778.0059999999994</v>
      </c>
      <c r="G97">
        <v>6789.1655739550497</v>
      </c>
      <c r="H97">
        <v>34663.746902144499</v>
      </c>
      <c r="I97">
        <v>51995.6203532168</v>
      </c>
      <c r="K97">
        <v>8778.0059999999994</v>
      </c>
      <c r="L97">
        <v>413176.64423203003</v>
      </c>
      <c r="M97">
        <v>42449.752114153103</v>
      </c>
      <c r="N97">
        <v>598608.34583248699</v>
      </c>
      <c r="O97">
        <v>142981.94948630399</v>
      </c>
      <c r="Q97">
        <v>8778.0059999999994</v>
      </c>
      <c r="R97">
        <v>64434.729702821904</v>
      </c>
      <c r="T97">
        <v>8754.0059999999994</v>
      </c>
      <c r="U97">
        <v>72231.290861736605</v>
      </c>
    </row>
    <row r="98" spans="6:21" x14ac:dyDescent="0.25">
      <c r="F98">
        <v>8779.0059999999994</v>
      </c>
      <c r="G98">
        <v>6789.1655739550497</v>
      </c>
      <c r="H98">
        <v>34663.746902144499</v>
      </c>
      <c r="I98">
        <v>51995.6203532168</v>
      </c>
      <c r="K98">
        <v>8779.0059999999994</v>
      </c>
      <c r="L98">
        <v>413264.42701676901</v>
      </c>
      <c r="M98">
        <v>42454.5874885823</v>
      </c>
      <c r="N98">
        <v>598717.25080672395</v>
      </c>
      <c r="O98">
        <v>142998.236301372</v>
      </c>
      <c r="Q98">
        <v>8779.0059999999994</v>
      </c>
      <c r="R98">
        <v>64461.328526916703</v>
      </c>
      <c r="T98">
        <v>8755.0059999999994</v>
      </c>
      <c r="U98">
        <v>72235.188861736606</v>
      </c>
    </row>
    <row r="99" spans="6:21" x14ac:dyDescent="0.25">
      <c r="F99">
        <v>8780.0059999999994</v>
      </c>
      <c r="G99">
        <v>6789.1655739550497</v>
      </c>
      <c r="H99">
        <v>34663.746902144499</v>
      </c>
      <c r="I99">
        <v>51995.6203532168</v>
      </c>
      <c r="K99">
        <v>8780.0059999999994</v>
      </c>
      <c r="L99">
        <v>413340.05600275099</v>
      </c>
      <c r="M99">
        <v>42459.422863011598</v>
      </c>
      <c r="N99">
        <v>598814.00198220403</v>
      </c>
      <c r="O99">
        <v>143014.52311644101</v>
      </c>
      <c r="Q99">
        <v>8780.0059999999994</v>
      </c>
      <c r="R99">
        <v>64484.668449040997</v>
      </c>
      <c r="T99">
        <v>8756.0059999999994</v>
      </c>
      <c r="U99">
        <v>72240.0888617366</v>
      </c>
    </row>
    <row r="100" spans="6:21" x14ac:dyDescent="0.25">
      <c r="F100">
        <v>8781.0059999999994</v>
      </c>
      <c r="G100">
        <v>6789.1655739550497</v>
      </c>
      <c r="H100">
        <v>34663.746902144499</v>
      </c>
      <c r="I100">
        <v>51995.6203532168</v>
      </c>
      <c r="K100">
        <v>8781.0059999999994</v>
      </c>
      <c r="L100">
        <v>413413.23299081798</v>
      </c>
      <c r="M100">
        <v>42464.258237440801</v>
      </c>
      <c r="N100">
        <v>598908.30115976895</v>
      </c>
      <c r="O100">
        <v>143030.80993150899</v>
      </c>
      <c r="Q100">
        <v>8781.0059999999994</v>
      </c>
      <c r="R100">
        <v>64510.746857149599</v>
      </c>
      <c r="T100">
        <v>8757.0059999999994</v>
      </c>
      <c r="U100">
        <v>72242.134861736602</v>
      </c>
    </row>
    <row r="101" spans="6:21" x14ac:dyDescent="0.25">
      <c r="F101">
        <v>8782.0059999999994</v>
      </c>
      <c r="G101">
        <v>6789.1655739550497</v>
      </c>
      <c r="H101">
        <v>34663.746902144499</v>
      </c>
      <c r="I101">
        <v>51995.6203532168</v>
      </c>
      <c r="K101">
        <v>8782.0059999999994</v>
      </c>
      <c r="L101">
        <v>413477.471091235</v>
      </c>
      <c r="M101">
        <v>42469.093611869997</v>
      </c>
      <c r="N101">
        <v>598993.66144968302</v>
      </c>
      <c r="O101">
        <v>143047.096746578</v>
      </c>
      <c r="Q101">
        <v>8782.0059999999994</v>
      </c>
      <c r="R101">
        <v>64534.120234685499</v>
      </c>
      <c r="T101">
        <v>8758.0059999999994</v>
      </c>
      <c r="U101">
        <v>72243.562861736602</v>
      </c>
    </row>
    <row r="102" spans="6:21" x14ac:dyDescent="0.25">
      <c r="F102">
        <v>8783.0059999999994</v>
      </c>
      <c r="G102">
        <v>6789.1655739550497</v>
      </c>
      <c r="H102">
        <v>34663.746902144499</v>
      </c>
      <c r="I102">
        <v>51995.6203532168</v>
      </c>
      <c r="K102">
        <v>8783.0059999999994</v>
      </c>
      <c r="L102">
        <v>413532.49445822201</v>
      </c>
      <c r="M102">
        <v>42473.928986299201</v>
      </c>
      <c r="N102">
        <v>599069.80700616795</v>
      </c>
      <c r="O102">
        <v>143063.38356164601</v>
      </c>
      <c r="Q102">
        <v>8783.0059999999994</v>
      </c>
      <c r="R102">
        <v>64552.080710820599</v>
      </c>
      <c r="T102">
        <v>8759.0059999999994</v>
      </c>
      <c r="U102">
        <v>72243.651861736595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CA32-3A23-4A6E-9354-60D575E08E4A}">
  <dimension ref="G2:V106"/>
  <sheetViews>
    <sheetView topLeftCell="A91" workbookViewId="0">
      <selection activeCell="V2" sqref="V2"/>
    </sheetView>
  </sheetViews>
  <sheetFormatPr defaultRowHeight="15" x14ac:dyDescent="0.25"/>
  <cols>
    <col min="14" max="14" width="19.5703125" bestFit="1" customWidth="1"/>
  </cols>
  <sheetData>
    <row r="2" spans="7:22" x14ac:dyDescent="0.25">
      <c r="H2" t="s">
        <v>57</v>
      </c>
      <c r="I2" t="s">
        <v>58</v>
      </c>
      <c r="J2" t="s">
        <v>59</v>
      </c>
      <c r="K2" t="s">
        <v>60</v>
      </c>
      <c r="N2" t="s">
        <v>39</v>
      </c>
      <c r="O2" t="s">
        <v>40</v>
      </c>
      <c r="P2" t="s">
        <v>41</v>
      </c>
      <c r="Q2" t="s">
        <v>61</v>
      </c>
      <c r="T2" t="s">
        <v>62</v>
      </c>
      <c r="U2" t="s">
        <v>63</v>
      </c>
      <c r="V2" t="s">
        <v>64</v>
      </c>
    </row>
    <row r="3" spans="7:22" x14ac:dyDescent="0.25">
      <c r="G3">
        <v>8660.0059999999994</v>
      </c>
      <c r="H3">
        <v>0</v>
      </c>
      <c r="I3">
        <v>51.097499999999897</v>
      </c>
      <c r="J3">
        <v>82.809999999999903</v>
      </c>
      <c r="K3">
        <v>31.712499999999999</v>
      </c>
      <c r="M3">
        <v>8660.0059999999994</v>
      </c>
      <c r="N3">
        <v>422341.221299153</v>
      </c>
      <c r="O3">
        <v>41879.177931504797</v>
      </c>
      <c r="P3">
        <v>605280.50453888206</v>
      </c>
      <c r="Q3">
        <v>141060.10530822299</v>
      </c>
      <c r="S3">
        <v>8660.0059999999994</v>
      </c>
      <c r="T3">
        <v>6572.1191595702703</v>
      </c>
      <c r="U3">
        <v>26275.900482782501</v>
      </c>
      <c r="V3">
        <v>39413.850724173797</v>
      </c>
    </row>
    <row r="4" spans="7:22" x14ac:dyDescent="0.25">
      <c r="G4">
        <v>8661.0059999999994</v>
      </c>
      <c r="H4">
        <v>0</v>
      </c>
      <c r="I4">
        <v>43.668499999999902</v>
      </c>
      <c r="J4">
        <v>80.069999999999894</v>
      </c>
      <c r="K4">
        <v>36.401499999999999</v>
      </c>
      <c r="M4">
        <v>8661.0059999999994</v>
      </c>
      <c r="N4">
        <v>422382.65929915302</v>
      </c>
      <c r="O4">
        <v>41884.012931504803</v>
      </c>
      <c r="P4">
        <v>605343.064538882</v>
      </c>
      <c r="Q4">
        <v>141076.392308223</v>
      </c>
      <c r="S4">
        <v>8661.0059999999994</v>
      </c>
      <c r="T4">
        <v>6572.1191595702703</v>
      </c>
      <c r="U4">
        <v>26275.900482782501</v>
      </c>
      <c r="V4">
        <v>39413.850724173797</v>
      </c>
    </row>
    <row r="5" spans="7:22" x14ac:dyDescent="0.25">
      <c r="G5">
        <v>8662.0059999999994</v>
      </c>
      <c r="H5">
        <v>0</v>
      </c>
      <c r="I5">
        <v>23.642499999999899</v>
      </c>
      <c r="J5">
        <v>65.279999999999902</v>
      </c>
      <c r="K5">
        <v>41.637500000000003</v>
      </c>
      <c r="M5">
        <v>8662.0059999999994</v>
      </c>
      <c r="N5">
        <v>422402.64229915303</v>
      </c>
      <c r="O5">
        <v>41888.848931504799</v>
      </c>
      <c r="P5">
        <v>605384.16953888198</v>
      </c>
      <c r="Q5">
        <v>141092.67930822301</v>
      </c>
      <c r="S5">
        <v>8662.0059999999994</v>
      </c>
      <c r="T5">
        <v>6572.1191595702703</v>
      </c>
      <c r="U5">
        <v>26275.900482782501</v>
      </c>
      <c r="V5">
        <v>39413.850724173797</v>
      </c>
    </row>
    <row r="6" spans="7:22" x14ac:dyDescent="0.25">
      <c r="G6">
        <v>8663.0059999999994</v>
      </c>
      <c r="H6">
        <v>0</v>
      </c>
      <c r="I6">
        <v>9.8174999999999795</v>
      </c>
      <c r="J6">
        <v>55.959999999999901</v>
      </c>
      <c r="K6">
        <v>46.142499999999998</v>
      </c>
      <c r="M6">
        <v>8663.0059999999994</v>
      </c>
      <c r="N6">
        <v>422410.38329915301</v>
      </c>
      <c r="O6">
        <v>41893.683931504798</v>
      </c>
      <c r="P6">
        <v>605413.03353888204</v>
      </c>
      <c r="Q6">
        <v>141108.96530822301</v>
      </c>
      <c r="S6">
        <v>8663.0059999999994</v>
      </c>
      <c r="T6">
        <v>6572.1191595702703</v>
      </c>
      <c r="U6">
        <v>26275.900482782501</v>
      </c>
      <c r="V6">
        <v>39413.850724173797</v>
      </c>
    </row>
    <row r="7" spans="7:22" x14ac:dyDescent="0.25">
      <c r="G7">
        <v>8664.0059999999994</v>
      </c>
      <c r="H7">
        <v>0</v>
      </c>
      <c r="I7">
        <v>4.65949999999998</v>
      </c>
      <c r="J7">
        <v>50.299999999999898</v>
      </c>
      <c r="K7">
        <v>45.640500000000003</v>
      </c>
      <c r="M7">
        <v>8664.0059999999994</v>
      </c>
      <c r="N7">
        <v>422414.068299153</v>
      </c>
      <c r="O7">
        <v>41898.518931504797</v>
      </c>
      <c r="P7">
        <v>605437.83953888202</v>
      </c>
      <c r="Q7">
        <v>141125.25230822299</v>
      </c>
      <c r="S7">
        <v>8664.0059999999994</v>
      </c>
      <c r="T7">
        <v>6572.1191595702703</v>
      </c>
      <c r="U7">
        <v>26275.900482782501</v>
      </c>
      <c r="V7">
        <v>39413.850724173797</v>
      </c>
    </row>
    <row r="8" spans="7:22" x14ac:dyDescent="0.25">
      <c r="G8">
        <v>8665.0059999999994</v>
      </c>
      <c r="H8">
        <v>0</v>
      </c>
      <c r="I8">
        <v>4.9999999998817603E-4</v>
      </c>
      <c r="J8">
        <v>36.999999999999901</v>
      </c>
      <c r="K8">
        <v>45.883499999999998</v>
      </c>
      <c r="M8">
        <v>8665.0059999999994</v>
      </c>
      <c r="N8">
        <v>422414.068299153</v>
      </c>
      <c r="O8">
        <v>41903.3549315048</v>
      </c>
      <c r="P8">
        <v>605458.96253888204</v>
      </c>
      <c r="Q8">
        <v>141141.539308223</v>
      </c>
      <c r="S8">
        <v>8665.0059999999994</v>
      </c>
      <c r="T8">
        <v>6573.2661595702702</v>
      </c>
      <c r="U8">
        <v>26275.900482782501</v>
      </c>
      <c r="V8">
        <v>39413.850724173797</v>
      </c>
    </row>
    <row r="9" spans="7:22" x14ac:dyDescent="0.25">
      <c r="G9">
        <v>8666.0059999999994</v>
      </c>
      <c r="H9">
        <v>0</v>
      </c>
      <c r="I9">
        <v>4.9999999998817603E-4</v>
      </c>
      <c r="J9">
        <v>32.1099999999999</v>
      </c>
      <c r="K9">
        <v>48.904499999999999</v>
      </c>
      <c r="M9">
        <v>8666.0059999999994</v>
      </c>
      <c r="N9">
        <v>422414.068299153</v>
      </c>
      <c r="O9">
        <v>41908.189931504799</v>
      </c>
      <c r="P9">
        <v>605480.08453888202</v>
      </c>
      <c r="Q9">
        <v>141157.82630822301</v>
      </c>
      <c r="S9">
        <v>8666.0059999999994</v>
      </c>
      <c r="T9">
        <v>6575.0921595702703</v>
      </c>
      <c r="U9">
        <v>26275.900482782501</v>
      </c>
      <c r="V9">
        <v>39413.850724173797</v>
      </c>
    </row>
    <row r="10" spans="7:22" x14ac:dyDescent="0.25">
      <c r="G10">
        <v>8667.0059999999994</v>
      </c>
      <c r="H10">
        <v>0</v>
      </c>
      <c r="I10">
        <v>4.9999999998817603E-4</v>
      </c>
      <c r="J10">
        <v>29.719999999999899</v>
      </c>
      <c r="K10">
        <v>54.5565</v>
      </c>
      <c r="M10">
        <v>8667.0059999999994</v>
      </c>
      <c r="N10">
        <v>422414.068299153</v>
      </c>
      <c r="O10">
        <v>41913.025931504802</v>
      </c>
      <c r="P10">
        <v>605501.20653888199</v>
      </c>
      <c r="Q10">
        <v>141174.11330822299</v>
      </c>
      <c r="S10">
        <v>8667.0059999999994</v>
      </c>
      <c r="T10">
        <v>6577.4231595702704</v>
      </c>
      <c r="U10">
        <v>26275.900482782501</v>
      </c>
      <c r="V10">
        <v>39413.850724173797</v>
      </c>
    </row>
    <row r="11" spans="7:22" x14ac:dyDescent="0.25">
      <c r="G11">
        <v>8668.0059999999994</v>
      </c>
      <c r="H11">
        <v>0</v>
      </c>
      <c r="I11">
        <v>-4.9500000000008898E-2</v>
      </c>
      <c r="J11">
        <v>28.8799999999999</v>
      </c>
      <c r="K11">
        <v>57.436500000000002</v>
      </c>
      <c r="M11">
        <v>8668.0059999999994</v>
      </c>
      <c r="N11">
        <v>422414.06529915298</v>
      </c>
      <c r="O11">
        <v>41917.860931504802</v>
      </c>
      <c r="P11">
        <v>605522.32653888199</v>
      </c>
      <c r="Q11">
        <v>141190.400308223</v>
      </c>
      <c r="S11">
        <v>8668.0059999999994</v>
      </c>
      <c r="T11">
        <v>6578.8971595702697</v>
      </c>
      <c r="U11">
        <v>26275.903482782502</v>
      </c>
      <c r="V11">
        <v>39413.854724173798</v>
      </c>
    </row>
    <row r="12" spans="7:22" x14ac:dyDescent="0.25">
      <c r="G12">
        <v>8669.0059999999994</v>
      </c>
      <c r="H12">
        <v>0</v>
      </c>
      <c r="I12">
        <v>4.9999999998817603E-4</v>
      </c>
      <c r="J12">
        <v>29.119999999999902</v>
      </c>
      <c r="K12">
        <v>58.076500000000003</v>
      </c>
      <c r="M12">
        <v>8669.0059999999994</v>
      </c>
      <c r="N12">
        <v>422414.06529915298</v>
      </c>
      <c r="O12">
        <v>41922.695931504801</v>
      </c>
      <c r="P12">
        <v>605543.44853888196</v>
      </c>
      <c r="Q12">
        <v>141206.686308223</v>
      </c>
      <c r="S12">
        <v>8669.0059999999994</v>
      </c>
      <c r="T12">
        <v>6578.9451595702703</v>
      </c>
      <c r="U12">
        <v>26275.903482782502</v>
      </c>
      <c r="V12">
        <v>39413.854724173798</v>
      </c>
    </row>
    <row r="13" spans="7:22" x14ac:dyDescent="0.25">
      <c r="G13">
        <v>8670.0059999999994</v>
      </c>
      <c r="H13">
        <v>0</v>
      </c>
      <c r="I13">
        <v>4.9999999998817603E-4</v>
      </c>
      <c r="J13">
        <v>34.259999999999899</v>
      </c>
      <c r="K13">
        <v>58.148499999999999</v>
      </c>
      <c r="M13">
        <v>8670.0059999999994</v>
      </c>
      <c r="N13">
        <v>422414.06529915298</v>
      </c>
      <c r="O13">
        <v>41927.531931504796</v>
      </c>
      <c r="P13">
        <v>605564.57053888205</v>
      </c>
      <c r="Q13">
        <v>141222.97330822301</v>
      </c>
      <c r="S13">
        <v>8670.0059999999994</v>
      </c>
      <c r="T13">
        <v>6578.9591595702695</v>
      </c>
      <c r="U13">
        <v>26275.903482782502</v>
      </c>
      <c r="V13">
        <v>39413.854724173798</v>
      </c>
    </row>
    <row r="14" spans="7:22" x14ac:dyDescent="0.25">
      <c r="G14">
        <v>8671.0059999999994</v>
      </c>
      <c r="H14">
        <v>0</v>
      </c>
      <c r="I14">
        <v>4.9999999998817603E-4</v>
      </c>
      <c r="J14">
        <v>41.499999999999901</v>
      </c>
      <c r="K14">
        <v>57.941499999999998</v>
      </c>
      <c r="M14">
        <v>8671.0059999999994</v>
      </c>
      <c r="N14">
        <v>422414.06529915298</v>
      </c>
      <c r="O14">
        <v>41932.366931504803</v>
      </c>
      <c r="P14">
        <v>605585.69253888202</v>
      </c>
      <c r="Q14">
        <v>141239.26030822299</v>
      </c>
      <c r="S14">
        <v>8671.0059999999994</v>
      </c>
      <c r="T14">
        <v>6578.9861595702696</v>
      </c>
      <c r="U14">
        <v>26275.903482782502</v>
      </c>
      <c r="V14">
        <v>39413.854724173798</v>
      </c>
    </row>
    <row r="15" spans="7:22" x14ac:dyDescent="0.25">
      <c r="G15">
        <v>8672.0059999999994</v>
      </c>
      <c r="H15">
        <v>0</v>
      </c>
      <c r="I15">
        <v>4.7499999999992298E-2</v>
      </c>
      <c r="J15">
        <v>54.839999999999897</v>
      </c>
      <c r="K15">
        <v>54.792499999999997</v>
      </c>
      <c r="M15">
        <v>8672.0059999999994</v>
      </c>
      <c r="N15">
        <v>422414.10029915301</v>
      </c>
      <c r="O15">
        <v>41937.201931504802</v>
      </c>
      <c r="P15">
        <v>605606.84953888203</v>
      </c>
      <c r="Q15">
        <v>141255.547308223</v>
      </c>
      <c r="S15">
        <v>8672.0059999999994</v>
      </c>
      <c r="T15">
        <v>6578.9861595702696</v>
      </c>
      <c r="U15">
        <v>26275.903482782502</v>
      </c>
      <c r="V15">
        <v>39413.854724173798</v>
      </c>
    </row>
    <row r="16" spans="7:22" x14ac:dyDescent="0.25">
      <c r="G16">
        <v>8673.0059999999994</v>
      </c>
      <c r="H16">
        <v>0.17399999999999999</v>
      </c>
      <c r="I16">
        <v>14.504499999999901</v>
      </c>
      <c r="J16">
        <v>68.349999999999895</v>
      </c>
      <c r="K16">
        <v>53.671500000000002</v>
      </c>
      <c r="M16">
        <v>8673.0059999999994</v>
      </c>
      <c r="N16">
        <v>422424.95329915301</v>
      </c>
      <c r="O16">
        <v>41942.037931504798</v>
      </c>
      <c r="P16">
        <v>605638.82553888205</v>
      </c>
      <c r="Q16">
        <v>141271.83430822301</v>
      </c>
      <c r="S16">
        <v>8673.0059999999994</v>
      </c>
      <c r="T16">
        <v>6578.9861595702696</v>
      </c>
      <c r="U16">
        <v>26275.903482782502</v>
      </c>
      <c r="V16">
        <v>39413.854724173798</v>
      </c>
    </row>
    <row r="17" spans="7:22" x14ac:dyDescent="0.25">
      <c r="G17">
        <v>8674.0059999999994</v>
      </c>
      <c r="H17">
        <v>1.897</v>
      </c>
      <c r="I17">
        <v>21.9514999999999</v>
      </c>
      <c r="J17">
        <v>78.469999999999899</v>
      </c>
      <c r="K17">
        <v>54.5565</v>
      </c>
      <c r="M17">
        <v>8674.0059999999994</v>
      </c>
      <c r="N17">
        <v>422441.10829915298</v>
      </c>
      <c r="O17">
        <v>41946.872931504797</v>
      </c>
      <c r="P17">
        <v>605676.10153888201</v>
      </c>
      <c r="Q17">
        <v>141288.12030822301</v>
      </c>
      <c r="S17">
        <v>8674.0059999999994</v>
      </c>
      <c r="T17">
        <v>6578.9861595702696</v>
      </c>
      <c r="U17">
        <v>26275.9134827825</v>
      </c>
      <c r="V17">
        <v>39413.869724173797</v>
      </c>
    </row>
    <row r="18" spans="7:22" x14ac:dyDescent="0.25">
      <c r="G18">
        <v>8675.0059999999994</v>
      </c>
      <c r="H18">
        <v>4.4359999999999999</v>
      </c>
      <c r="I18">
        <v>17.946499999999901</v>
      </c>
      <c r="J18">
        <v>78.829999999999899</v>
      </c>
      <c r="K18">
        <v>56.099499999999999</v>
      </c>
      <c r="M18">
        <v>8675.0059999999994</v>
      </c>
      <c r="N18">
        <v>422455.83629915299</v>
      </c>
      <c r="O18">
        <v>41951.7089315048</v>
      </c>
      <c r="P18">
        <v>605711.95253888203</v>
      </c>
      <c r="Q18">
        <v>141304.40730822299</v>
      </c>
      <c r="S18">
        <v>8675.0059999999994</v>
      </c>
      <c r="T18">
        <v>6578.9861595702696</v>
      </c>
      <c r="U18">
        <v>26275.9844827825</v>
      </c>
      <c r="V18">
        <v>39413.975724173797</v>
      </c>
    </row>
    <row r="19" spans="7:22" x14ac:dyDescent="0.25">
      <c r="G19">
        <v>8676.0059999999994</v>
      </c>
      <c r="H19">
        <v>5.3689999999999998</v>
      </c>
      <c r="I19">
        <v>9.5624999999999893</v>
      </c>
      <c r="J19">
        <v>72.899999999999906</v>
      </c>
      <c r="K19">
        <v>57.765500000000003</v>
      </c>
      <c r="M19">
        <v>8676.0059999999994</v>
      </c>
      <c r="N19">
        <v>422463.52729915298</v>
      </c>
      <c r="O19">
        <v>41956.543931504799</v>
      </c>
      <c r="P19">
        <v>605740.765538882</v>
      </c>
      <c r="Q19">
        <v>141320.694308223</v>
      </c>
      <c r="S19">
        <v>8676.0059999999994</v>
      </c>
      <c r="T19">
        <v>6578.9861595702696</v>
      </c>
      <c r="U19">
        <v>26276.048482782498</v>
      </c>
      <c r="V19">
        <v>39414.072724173799</v>
      </c>
    </row>
    <row r="20" spans="7:22" x14ac:dyDescent="0.25">
      <c r="G20">
        <v>8677.0059999999994</v>
      </c>
      <c r="H20">
        <v>5.4059999999999997</v>
      </c>
      <c r="I20">
        <v>12.7654999999999</v>
      </c>
      <c r="J20">
        <v>74.449999999999903</v>
      </c>
      <c r="K20">
        <v>56.141500000000001</v>
      </c>
      <c r="M20">
        <v>8677.0059999999994</v>
      </c>
      <c r="N20">
        <v>422473.362299153</v>
      </c>
      <c r="O20">
        <v>41961.378931504798</v>
      </c>
      <c r="P20">
        <v>605771.72253888205</v>
      </c>
      <c r="Q20">
        <v>141336.98130822301</v>
      </c>
      <c r="S20">
        <v>8677.0059999999994</v>
      </c>
      <c r="T20">
        <v>6578.9861595702696</v>
      </c>
      <c r="U20">
        <v>26276.083482782498</v>
      </c>
      <c r="V20">
        <v>39414.125724173799</v>
      </c>
    </row>
    <row r="21" spans="7:22" x14ac:dyDescent="0.25">
      <c r="G21">
        <v>8678.0059999999994</v>
      </c>
      <c r="H21">
        <v>3.6949999999999998</v>
      </c>
      <c r="I21">
        <v>11.0094999999999</v>
      </c>
      <c r="J21">
        <v>69.849999999999895</v>
      </c>
      <c r="K21">
        <v>55.122500000000002</v>
      </c>
      <c r="M21">
        <v>8678.0059999999994</v>
      </c>
      <c r="N21">
        <v>422482.62129915302</v>
      </c>
      <c r="O21">
        <v>41966.214931504801</v>
      </c>
      <c r="P21">
        <v>605802.10353888199</v>
      </c>
      <c r="Q21">
        <v>141353.26830822299</v>
      </c>
      <c r="S21">
        <v>8678.0059999999994</v>
      </c>
      <c r="T21">
        <v>6578.9861595702696</v>
      </c>
      <c r="U21">
        <v>26276.096482782501</v>
      </c>
      <c r="V21">
        <v>39414.144724173799</v>
      </c>
    </row>
    <row r="22" spans="7:22" x14ac:dyDescent="0.25">
      <c r="G22">
        <v>8679.0059999999994</v>
      </c>
      <c r="H22">
        <v>0.83699999999999997</v>
      </c>
      <c r="I22">
        <v>21.9604999999999</v>
      </c>
      <c r="J22">
        <v>77.559999999999903</v>
      </c>
      <c r="K22">
        <v>54.761499999999998</v>
      </c>
      <c r="M22">
        <v>8679.0059999999994</v>
      </c>
      <c r="N22">
        <v>422502.82129915297</v>
      </c>
      <c r="O22">
        <v>41971.0499315048</v>
      </c>
      <c r="P22">
        <v>605843.42653888196</v>
      </c>
      <c r="Q22">
        <v>141369.55430822301</v>
      </c>
      <c r="S22">
        <v>8679.0059999999994</v>
      </c>
      <c r="T22">
        <v>6578.9861595702696</v>
      </c>
      <c r="U22">
        <v>26276.096482782501</v>
      </c>
      <c r="V22">
        <v>39414.144724173799</v>
      </c>
    </row>
    <row r="23" spans="7:22" x14ac:dyDescent="0.25">
      <c r="G23">
        <v>8680.0059999999994</v>
      </c>
      <c r="H23">
        <v>5.0000000000000001E-3</v>
      </c>
      <c r="I23">
        <v>32.153499999999902</v>
      </c>
      <c r="J23">
        <v>87.349999999999895</v>
      </c>
      <c r="K23">
        <v>55.191499999999998</v>
      </c>
      <c r="M23">
        <v>8680.0059999999994</v>
      </c>
      <c r="N23">
        <v>422539.280299153</v>
      </c>
      <c r="O23">
        <v>41975.884931504799</v>
      </c>
      <c r="P23">
        <v>605901.00753888197</v>
      </c>
      <c r="Q23">
        <v>141385.841308223</v>
      </c>
      <c r="S23">
        <v>8680.0059999999994</v>
      </c>
      <c r="T23">
        <v>6578.9861595702696</v>
      </c>
      <c r="U23">
        <v>26276.096482782501</v>
      </c>
      <c r="V23">
        <v>39414.144724173799</v>
      </c>
    </row>
    <row r="24" spans="7:22" x14ac:dyDescent="0.25">
      <c r="G24">
        <v>8681.0059999999994</v>
      </c>
      <c r="H24">
        <v>0</v>
      </c>
      <c r="I24">
        <v>55.354499999999902</v>
      </c>
      <c r="J24">
        <v>110.05999999999899</v>
      </c>
      <c r="K24">
        <v>54.705500000000001</v>
      </c>
      <c r="M24">
        <v>8681.0059999999994</v>
      </c>
      <c r="N24">
        <v>422603.36929915298</v>
      </c>
      <c r="O24">
        <v>41980.720931504802</v>
      </c>
      <c r="P24">
        <v>605986.21853888198</v>
      </c>
      <c r="Q24">
        <v>141402.12830822301</v>
      </c>
      <c r="S24">
        <v>8681.0059999999994</v>
      </c>
      <c r="T24">
        <v>6578.9861595702696</v>
      </c>
      <c r="U24">
        <v>26276.096482782501</v>
      </c>
      <c r="V24">
        <v>39414.144724173799</v>
      </c>
    </row>
    <row r="25" spans="7:22" x14ac:dyDescent="0.25">
      <c r="G25">
        <v>8682.0059999999994</v>
      </c>
      <c r="H25">
        <v>0</v>
      </c>
      <c r="I25">
        <v>61.984499999999898</v>
      </c>
      <c r="J25">
        <v>114.83999999999899</v>
      </c>
      <c r="K25">
        <v>52.855499999999999</v>
      </c>
      <c r="M25">
        <v>8682.0059999999994</v>
      </c>
      <c r="N25">
        <v>422676.98429915297</v>
      </c>
      <c r="O25">
        <v>41985.555931504801</v>
      </c>
      <c r="P25">
        <v>606080.95553888194</v>
      </c>
      <c r="Q25">
        <v>141418.41530822299</v>
      </c>
      <c r="S25">
        <v>8682.0059999999994</v>
      </c>
      <c r="T25">
        <v>6578.9861595702696</v>
      </c>
      <c r="U25">
        <v>26276.096482782501</v>
      </c>
      <c r="V25">
        <v>39414.144724173799</v>
      </c>
    </row>
    <row r="26" spans="7:22" x14ac:dyDescent="0.25">
      <c r="G26">
        <v>8683.0059999999994</v>
      </c>
      <c r="H26">
        <v>0</v>
      </c>
      <c r="I26">
        <v>48.247499999999903</v>
      </c>
      <c r="J26">
        <v>99.809999999999903</v>
      </c>
      <c r="K26">
        <v>51.5625</v>
      </c>
      <c r="M26">
        <v>8683.0059999999994</v>
      </c>
      <c r="N26">
        <v>422733.70829915302</v>
      </c>
      <c r="O26">
        <v>41990.391931504797</v>
      </c>
      <c r="P26">
        <v>606158.80153888196</v>
      </c>
      <c r="Q26">
        <v>141434.702308223</v>
      </c>
      <c r="S26">
        <v>8683.0059999999994</v>
      </c>
      <c r="T26">
        <v>6578.9861595702696</v>
      </c>
      <c r="U26">
        <v>26276.096482782501</v>
      </c>
      <c r="V26">
        <v>39414.144724173799</v>
      </c>
    </row>
    <row r="27" spans="7:22" x14ac:dyDescent="0.25">
      <c r="G27">
        <v>8684.0059999999994</v>
      </c>
      <c r="H27">
        <v>0</v>
      </c>
      <c r="I27">
        <v>35.890499999999903</v>
      </c>
      <c r="J27">
        <v>85.519999999999897</v>
      </c>
      <c r="K27">
        <v>49.6295</v>
      </c>
      <c r="M27">
        <v>8684.0059999999994</v>
      </c>
      <c r="N27">
        <v>422774.64629915298</v>
      </c>
      <c r="O27">
        <v>41995.226931504803</v>
      </c>
      <c r="P27">
        <v>606220.86253888195</v>
      </c>
      <c r="Q27">
        <v>141450.98930822301</v>
      </c>
      <c r="S27">
        <v>8684.0059999999994</v>
      </c>
      <c r="T27">
        <v>6578.9861595702696</v>
      </c>
      <c r="U27">
        <v>26276.096482782501</v>
      </c>
      <c r="V27">
        <v>39414.144724173799</v>
      </c>
    </row>
    <row r="28" spans="7:22" x14ac:dyDescent="0.25">
      <c r="G28">
        <v>8685.0059999999994</v>
      </c>
      <c r="H28">
        <v>0</v>
      </c>
      <c r="I28">
        <v>27.497499999999899</v>
      </c>
      <c r="J28">
        <v>75.589999999999904</v>
      </c>
      <c r="K28">
        <v>48.092500000000001</v>
      </c>
      <c r="M28">
        <v>8685.0059999999994</v>
      </c>
      <c r="N28">
        <v>422804.35029915301</v>
      </c>
      <c r="O28">
        <v>42000.061931504802</v>
      </c>
      <c r="P28">
        <v>606271.68753888202</v>
      </c>
      <c r="Q28">
        <v>141467.275308223</v>
      </c>
      <c r="S28">
        <v>8685.0059999999994</v>
      </c>
      <c r="T28">
        <v>6578.9861595702696</v>
      </c>
      <c r="U28">
        <v>26276.096482782501</v>
      </c>
      <c r="V28">
        <v>39414.144724173799</v>
      </c>
    </row>
    <row r="29" spans="7:22" x14ac:dyDescent="0.25">
      <c r="G29">
        <v>8686.0059999999994</v>
      </c>
      <c r="H29">
        <v>0</v>
      </c>
      <c r="I29">
        <v>17.4104999999999</v>
      </c>
      <c r="J29">
        <v>64.029999999999902</v>
      </c>
      <c r="K29">
        <v>46.619500000000002</v>
      </c>
      <c r="M29">
        <v>8686.0059999999994</v>
      </c>
      <c r="N29">
        <v>422822.53329915297</v>
      </c>
      <c r="O29">
        <v>42004.897931504798</v>
      </c>
      <c r="P29">
        <v>606310.993538882</v>
      </c>
      <c r="Q29">
        <v>141483.56230822299</v>
      </c>
      <c r="S29">
        <v>8686.0059999999994</v>
      </c>
      <c r="T29">
        <v>6578.9861595702696</v>
      </c>
      <c r="U29">
        <v>26276.096482782501</v>
      </c>
      <c r="V29">
        <v>39414.144724173799</v>
      </c>
    </row>
    <row r="30" spans="7:22" x14ac:dyDescent="0.25">
      <c r="G30">
        <v>8687.0059999999994</v>
      </c>
      <c r="H30">
        <v>0</v>
      </c>
      <c r="I30">
        <v>13.228499999999899</v>
      </c>
      <c r="J30">
        <v>51.1799999999999</v>
      </c>
      <c r="K30">
        <v>37.8125</v>
      </c>
      <c r="M30">
        <v>8687.0059999999994</v>
      </c>
      <c r="N30">
        <v>422836.27629915299</v>
      </c>
      <c r="O30">
        <v>42009.732931504797</v>
      </c>
      <c r="P30">
        <v>606345.85853888199</v>
      </c>
      <c r="Q30">
        <v>141499.849308223</v>
      </c>
      <c r="S30">
        <v>8687.0059999999994</v>
      </c>
      <c r="T30">
        <v>6578.9861595702696</v>
      </c>
      <c r="U30">
        <v>26276.1254827825</v>
      </c>
      <c r="V30">
        <v>39414.187724173797</v>
      </c>
    </row>
    <row r="31" spans="7:22" x14ac:dyDescent="0.25">
      <c r="G31">
        <v>8688.0059999999994</v>
      </c>
      <c r="H31">
        <v>0</v>
      </c>
      <c r="I31">
        <v>13.4894999999999</v>
      </c>
      <c r="J31">
        <v>42.139999999999901</v>
      </c>
      <c r="K31">
        <v>28.650500000000001</v>
      </c>
      <c r="M31">
        <v>8688.0059999999994</v>
      </c>
      <c r="N31">
        <v>422851.79429915303</v>
      </c>
      <c r="O31">
        <v>42014.567931504796</v>
      </c>
      <c r="P31">
        <v>606382.49853888201</v>
      </c>
      <c r="Q31">
        <v>141516.13630822301</v>
      </c>
      <c r="S31">
        <v>8688.0059999999994</v>
      </c>
      <c r="T31">
        <v>6578.9861595702696</v>
      </c>
      <c r="U31">
        <v>26276.1254827825</v>
      </c>
      <c r="V31">
        <v>39414.187724173797</v>
      </c>
    </row>
    <row r="32" spans="7:22" x14ac:dyDescent="0.25">
      <c r="G32">
        <v>8689.0059999999994</v>
      </c>
      <c r="H32">
        <v>0</v>
      </c>
      <c r="I32">
        <v>13.8204999999999</v>
      </c>
      <c r="J32">
        <v>36.769999999999897</v>
      </c>
      <c r="K32">
        <v>22.9495</v>
      </c>
      <c r="M32">
        <v>8689.0059999999994</v>
      </c>
      <c r="N32">
        <v>422867.68229915301</v>
      </c>
      <c r="O32">
        <v>42019.403931504799</v>
      </c>
      <c r="P32">
        <v>606419.50953888195</v>
      </c>
      <c r="Q32">
        <v>141532.42330822299</v>
      </c>
      <c r="S32">
        <v>8689.0059999999994</v>
      </c>
      <c r="T32">
        <v>6578.9861595702696</v>
      </c>
      <c r="U32">
        <v>26276.1254827825</v>
      </c>
      <c r="V32">
        <v>39414.187724173797</v>
      </c>
    </row>
    <row r="33" spans="7:22" x14ac:dyDescent="0.25">
      <c r="G33">
        <v>8690.0059999999994</v>
      </c>
      <c r="H33">
        <v>0</v>
      </c>
      <c r="I33">
        <v>15.2614999999999</v>
      </c>
      <c r="J33">
        <v>33.149999999999899</v>
      </c>
      <c r="K33">
        <v>17.888500000000001</v>
      </c>
      <c r="M33">
        <v>8690.0059999999994</v>
      </c>
      <c r="N33">
        <v>422885.31729915302</v>
      </c>
      <c r="O33">
        <v>42024.238931504799</v>
      </c>
      <c r="P33">
        <v>606458.26653888205</v>
      </c>
      <c r="Q33">
        <v>141548.70930822301</v>
      </c>
      <c r="S33">
        <v>8690.0059999999994</v>
      </c>
      <c r="T33">
        <v>6578.9861595702696</v>
      </c>
      <c r="U33">
        <v>26276.1254827825</v>
      </c>
      <c r="V33">
        <v>39414.187724173797</v>
      </c>
    </row>
    <row r="34" spans="7:22" x14ac:dyDescent="0.25">
      <c r="G34">
        <v>8691.0059999999994</v>
      </c>
      <c r="H34">
        <v>0</v>
      </c>
      <c r="I34">
        <v>17.8324999999999</v>
      </c>
      <c r="J34">
        <v>31.799999999999901</v>
      </c>
      <c r="K34">
        <v>13.967499999999999</v>
      </c>
      <c r="M34">
        <v>8691.0059999999994</v>
      </c>
      <c r="N34">
        <v>422906.10929915297</v>
      </c>
      <c r="O34">
        <v>42029.074931504801</v>
      </c>
      <c r="P34">
        <v>606500.18053888204</v>
      </c>
      <c r="Q34">
        <v>141564.996308223</v>
      </c>
      <c r="S34">
        <v>8691.0059999999994</v>
      </c>
      <c r="T34">
        <v>6578.9861595702696</v>
      </c>
      <c r="U34">
        <v>26276.1254827825</v>
      </c>
      <c r="V34">
        <v>39414.187724173797</v>
      </c>
    </row>
    <row r="35" spans="7:22" x14ac:dyDescent="0.25">
      <c r="G35">
        <v>8692.0059999999994</v>
      </c>
      <c r="H35">
        <v>0</v>
      </c>
      <c r="I35">
        <v>18.197499999999899</v>
      </c>
      <c r="J35">
        <v>29.939999999999898</v>
      </c>
      <c r="K35">
        <v>11.7425</v>
      </c>
      <c r="M35">
        <v>8692.0059999999994</v>
      </c>
      <c r="N35">
        <v>422928.60429915303</v>
      </c>
      <c r="O35">
        <v>42033.909931504801</v>
      </c>
      <c r="P35">
        <v>606543.79753888201</v>
      </c>
      <c r="Q35">
        <v>141581.28330822301</v>
      </c>
      <c r="S35">
        <v>8692.0059999999994</v>
      </c>
      <c r="T35">
        <v>6578.9861595702696</v>
      </c>
      <c r="U35">
        <v>26276.1254827825</v>
      </c>
      <c r="V35">
        <v>39414.187724173797</v>
      </c>
    </row>
    <row r="36" spans="7:22" x14ac:dyDescent="0.25">
      <c r="G36">
        <v>8693.0059999999994</v>
      </c>
      <c r="H36">
        <v>0</v>
      </c>
      <c r="I36">
        <v>22.796499999999899</v>
      </c>
      <c r="J36">
        <v>31.8599999999999</v>
      </c>
      <c r="K36">
        <v>9.0634999999999994</v>
      </c>
      <c r="M36">
        <v>8693.0059999999994</v>
      </c>
      <c r="N36">
        <v>422958.70529915299</v>
      </c>
      <c r="O36">
        <v>42038.7449315048</v>
      </c>
      <c r="P36">
        <v>606595.020538882</v>
      </c>
      <c r="Q36">
        <v>141597.57030822299</v>
      </c>
      <c r="S36">
        <v>8693.0059999999994</v>
      </c>
      <c r="T36">
        <v>6578.9861595702696</v>
      </c>
      <c r="U36">
        <v>26276.1254827825</v>
      </c>
      <c r="V36">
        <v>39414.187724173797</v>
      </c>
    </row>
    <row r="37" spans="7:22" x14ac:dyDescent="0.25">
      <c r="G37">
        <v>8694.0059999999994</v>
      </c>
      <c r="H37">
        <v>0</v>
      </c>
      <c r="I37">
        <v>34.586499999999901</v>
      </c>
      <c r="J37">
        <v>41.879999999999903</v>
      </c>
      <c r="K37">
        <v>7.2934999999999999</v>
      </c>
      <c r="M37">
        <v>8694.0059999999994</v>
      </c>
      <c r="N37">
        <v>423005.89529915299</v>
      </c>
      <c r="O37">
        <v>42043.580931504803</v>
      </c>
      <c r="P37">
        <v>606663.33353888197</v>
      </c>
      <c r="Q37">
        <v>141613.857308223</v>
      </c>
      <c r="S37">
        <v>8694.0059999999994</v>
      </c>
      <c r="T37">
        <v>6578.9861595702696</v>
      </c>
      <c r="U37">
        <v>26276.1254827825</v>
      </c>
      <c r="V37">
        <v>39414.187724173797</v>
      </c>
    </row>
    <row r="38" spans="7:22" x14ac:dyDescent="0.25">
      <c r="G38">
        <v>8695.0059999999994</v>
      </c>
      <c r="H38">
        <v>0</v>
      </c>
      <c r="I38">
        <v>41.959499999999899</v>
      </c>
      <c r="J38">
        <v>48.639999999999901</v>
      </c>
      <c r="K38">
        <v>6.6805000000000003</v>
      </c>
      <c r="M38">
        <v>8695.0059999999994</v>
      </c>
      <c r="N38">
        <v>423068.155299153</v>
      </c>
      <c r="O38">
        <v>42048.415931504802</v>
      </c>
      <c r="P38">
        <v>606746.71453888202</v>
      </c>
      <c r="Q38">
        <v>141630.14430822301</v>
      </c>
      <c r="S38">
        <v>8695.0059999999994</v>
      </c>
      <c r="T38">
        <v>6578.9861595702696</v>
      </c>
      <c r="U38">
        <v>26276.1254827825</v>
      </c>
      <c r="V38">
        <v>39414.187724173797</v>
      </c>
    </row>
    <row r="39" spans="7:22" x14ac:dyDescent="0.25">
      <c r="G39">
        <v>8696.0059999999994</v>
      </c>
      <c r="H39">
        <v>5.1999999999999998E-2</v>
      </c>
      <c r="I39">
        <v>46.3734999999999</v>
      </c>
      <c r="J39">
        <v>53.209999999999901</v>
      </c>
      <c r="K39">
        <v>6.7845000000000004</v>
      </c>
      <c r="M39">
        <v>8696.0059999999994</v>
      </c>
      <c r="N39">
        <v>423141.11529915303</v>
      </c>
      <c r="O39">
        <v>42053.250931504801</v>
      </c>
      <c r="P39">
        <v>606840.79753888201</v>
      </c>
      <c r="Q39">
        <v>141646.430308223</v>
      </c>
      <c r="S39">
        <v>8696.0059999999994</v>
      </c>
      <c r="T39">
        <v>6578.9861595702696</v>
      </c>
      <c r="U39">
        <v>26276.1254827825</v>
      </c>
      <c r="V39">
        <v>39414.187724173797</v>
      </c>
    </row>
    <row r="40" spans="7:22" x14ac:dyDescent="0.25">
      <c r="G40">
        <v>8697.0059999999994</v>
      </c>
      <c r="H40">
        <v>2.6230000000000002</v>
      </c>
      <c r="I40">
        <v>54.068499999999901</v>
      </c>
      <c r="J40">
        <v>63.499999999999901</v>
      </c>
      <c r="K40">
        <v>6.8055000000000003</v>
      </c>
      <c r="M40">
        <v>8697.0059999999994</v>
      </c>
      <c r="N40">
        <v>423237.58029915299</v>
      </c>
      <c r="O40">
        <v>42058.086931504797</v>
      </c>
      <c r="P40">
        <v>606958.38453888195</v>
      </c>
      <c r="Q40">
        <v>141662.71730822299</v>
      </c>
      <c r="S40">
        <v>8697.0059999999994</v>
      </c>
      <c r="T40">
        <v>6578.9861595702696</v>
      </c>
      <c r="U40">
        <v>26276.141482782499</v>
      </c>
      <c r="V40">
        <v>39414.211724173801</v>
      </c>
    </row>
    <row r="41" spans="7:22" x14ac:dyDescent="0.25">
      <c r="G41">
        <v>8698.0059999999994</v>
      </c>
      <c r="H41">
        <v>9.9529999999999994</v>
      </c>
      <c r="I41">
        <v>52.523499999999899</v>
      </c>
      <c r="J41">
        <v>68.569999999999894</v>
      </c>
      <c r="K41">
        <v>5.6734999999999998</v>
      </c>
      <c r="M41">
        <v>8698.0059999999994</v>
      </c>
      <c r="N41">
        <v>423335.91329915298</v>
      </c>
      <c r="O41">
        <v>42062.921931504803</v>
      </c>
      <c r="P41">
        <v>607077.83953888202</v>
      </c>
      <c r="Q41">
        <v>141679.004308223</v>
      </c>
      <c r="S41">
        <v>8698.0059999999994</v>
      </c>
      <c r="T41">
        <v>6578.9861595702696</v>
      </c>
      <c r="U41">
        <v>26277.008482782501</v>
      </c>
      <c r="V41">
        <v>39415.513724173798</v>
      </c>
    </row>
    <row r="42" spans="7:22" x14ac:dyDescent="0.25">
      <c r="G42">
        <v>8699.0059999999994</v>
      </c>
      <c r="H42">
        <v>14.521000000000001</v>
      </c>
      <c r="I42">
        <v>50.487499999999898</v>
      </c>
      <c r="J42">
        <v>71.169999999999902</v>
      </c>
      <c r="K42">
        <v>5.6855000000000002</v>
      </c>
      <c r="M42">
        <v>8699.0059999999994</v>
      </c>
      <c r="N42">
        <v>423422.715299153</v>
      </c>
      <c r="O42">
        <v>42067.757931504799</v>
      </c>
      <c r="P42">
        <v>607185.76453888195</v>
      </c>
      <c r="Q42">
        <v>141695.29130822301</v>
      </c>
      <c r="S42">
        <v>8699.0059999999994</v>
      </c>
      <c r="T42">
        <v>6578.9861595702696</v>
      </c>
      <c r="U42">
        <v>26278.7004827825</v>
      </c>
      <c r="V42">
        <v>39418.051724173798</v>
      </c>
    </row>
    <row r="43" spans="7:22" x14ac:dyDescent="0.25">
      <c r="G43">
        <v>8700.0059999999994</v>
      </c>
      <c r="H43">
        <v>13.843</v>
      </c>
      <c r="I43">
        <v>39.513499999999901</v>
      </c>
      <c r="J43">
        <v>60.909999999999897</v>
      </c>
      <c r="K43">
        <v>7.1775000000000002</v>
      </c>
      <c r="M43">
        <v>8700.0059999999994</v>
      </c>
      <c r="N43">
        <v>423488.95629915298</v>
      </c>
      <c r="O43">
        <v>42072.592931504798</v>
      </c>
      <c r="P43">
        <v>607273.12753888196</v>
      </c>
      <c r="Q43">
        <v>141711.57830822299</v>
      </c>
      <c r="S43">
        <v>8700.0059999999994</v>
      </c>
      <c r="T43">
        <v>6578.9861595702696</v>
      </c>
      <c r="U43">
        <v>26280.1464827825</v>
      </c>
      <c r="V43">
        <v>39420.2207241738</v>
      </c>
    </row>
    <row r="44" spans="7:22" x14ac:dyDescent="0.25">
      <c r="G44">
        <v>8701.0059999999994</v>
      </c>
      <c r="H44">
        <v>9.7050000000000001</v>
      </c>
      <c r="I44">
        <v>39.812499999999901</v>
      </c>
      <c r="J44">
        <v>60.499999999999901</v>
      </c>
      <c r="K44">
        <v>10.7155</v>
      </c>
      <c r="M44">
        <v>8701.0059999999994</v>
      </c>
      <c r="N44">
        <v>423549.95929915301</v>
      </c>
      <c r="O44">
        <v>42077.427931504797</v>
      </c>
      <c r="P44">
        <v>607355.25253888196</v>
      </c>
      <c r="Q44">
        <v>141727.86430822301</v>
      </c>
      <c r="S44">
        <v>8701.0059999999994</v>
      </c>
      <c r="T44">
        <v>6578.9861595702696</v>
      </c>
      <c r="U44">
        <v>26280.762482782498</v>
      </c>
      <c r="V44">
        <v>39421.143724173802</v>
      </c>
    </row>
    <row r="45" spans="7:22" x14ac:dyDescent="0.25">
      <c r="G45">
        <v>8702.0059999999994</v>
      </c>
      <c r="H45">
        <v>4.2110000000000003</v>
      </c>
      <c r="I45">
        <v>41.295499999999898</v>
      </c>
      <c r="J45">
        <v>61.509999999999899</v>
      </c>
      <c r="K45">
        <v>15.974500000000001</v>
      </c>
      <c r="M45">
        <v>8702.0059999999994</v>
      </c>
      <c r="N45">
        <v>423608.46429915301</v>
      </c>
      <c r="O45">
        <v>42082.2639315048</v>
      </c>
      <c r="P45">
        <v>607434.87953888206</v>
      </c>
      <c r="Q45">
        <v>141744.15130822299</v>
      </c>
      <c r="S45">
        <v>8702.0059999999994</v>
      </c>
      <c r="T45">
        <v>6578.9861595702696</v>
      </c>
      <c r="U45">
        <v>26280.778482782502</v>
      </c>
      <c r="V45">
        <v>39421.168724173796</v>
      </c>
    </row>
    <row r="46" spans="7:22" x14ac:dyDescent="0.25">
      <c r="G46">
        <v>8703.0059999999994</v>
      </c>
      <c r="H46">
        <v>0.38400000000000001</v>
      </c>
      <c r="I46">
        <v>42.201499999999903</v>
      </c>
      <c r="J46">
        <v>66.629999999999896</v>
      </c>
      <c r="K46">
        <v>24.045500000000001</v>
      </c>
      <c r="M46">
        <v>8703.0059999999994</v>
      </c>
      <c r="N46">
        <v>423667.650299153</v>
      </c>
      <c r="O46">
        <v>42087.098931504799</v>
      </c>
      <c r="P46">
        <v>607515.18753888202</v>
      </c>
      <c r="Q46">
        <v>141760.43830822301</v>
      </c>
      <c r="S46">
        <v>8703.0059999999994</v>
      </c>
      <c r="T46">
        <v>6578.9861595702696</v>
      </c>
      <c r="U46">
        <v>26280.778482782502</v>
      </c>
      <c r="V46">
        <v>39421.168724173796</v>
      </c>
    </row>
    <row r="47" spans="7:22" x14ac:dyDescent="0.25">
      <c r="G47">
        <v>8704.0059999999994</v>
      </c>
      <c r="H47">
        <v>2E-3</v>
      </c>
      <c r="I47">
        <v>52.502499999999898</v>
      </c>
      <c r="J47">
        <v>85.229999999999905</v>
      </c>
      <c r="K47">
        <v>32.725499999999997</v>
      </c>
      <c r="M47">
        <v>8704.0059999999994</v>
      </c>
      <c r="N47">
        <v>423742.96829915303</v>
      </c>
      <c r="O47">
        <v>42091.933931504798</v>
      </c>
      <c r="P47">
        <v>607611.62853888201</v>
      </c>
      <c r="Q47">
        <v>141776.72530822299</v>
      </c>
      <c r="S47">
        <v>8704.0059999999994</v>
      </c>
      <c r="T47">
        <v>6578.9861595702696</v>
      </c>
      <c r="U47">
        <v>26280.778482782502</v>
      </c>
      <c r="V47">
        <v>39421.168724173796</v>
      </c>
    </row>
    <row r="48" spans="7:22" x14ac:dyDescent="0.25">
      <c r="G48">
        <v>8705.0059999999994</v>
      </c>
      <c r="H48">
        <v>0</v>
      </c>
      <c r="I48">
        <v>72.039499999999904</v>
      </c>
      <c r="J48">
        <v>110.709999999999</v>
      </c>
      <c r="K48">
        <v>38.670499999999997</v>
      </c>
      <c r="M48">
        <v>8705.0059999999994</v>
      </c>
      <c r="N48">
        <v>423843.41229915299</v>
      </c>
      <c r="O48">
        <v>42096.769931504801</v>
      </c>
      <c r="P48">
        <v>607733.19353888195</v>
      </c>
      <c r="Q48">
        <v>141793.012308223</v>
      </c>
      <c r="S48">
        <v>8705.0059999999994</v>
      </c>
      <c r="T48">
        <v>6578.9861595702696</v>
      </c>
      <c r="U48">
        <v>26280.778482782502</v>
      </c>
      <c r="V48">
        <v>39421.168724173796</v>
      </c>
    </row>
    <row r="49" spans="7:22" x14ac:dyDescent="0.25">
      <c r="G49">
        <v>8706.0059999999994</v>
      </c>
      <c r="H49">
        <v>0</v>
      </c>
      <c r="I49">
        <v>74.920499999999905</v>
      </c>
      <c r="J49">
        <v>117.83999999999899</v>
      </c>
      <c r="K49">
        <v>42.919499999999999</v>
      </c>
      <c r="M49">
        <v>8706.0059999999994</v>
      </c>
      <c r="N49">
        <v>423944.35029915301</v>
      </c>
      <c r="O49">
        <v>42101.6049315048</v>
      </c>
      <c r="P49">
        <v>607855.25453888206</v>
      </c>
      <c r="Q49">
        <v>141809.29830822299</v>
      </c>
      <c r="S49">
        <v>8706.0059999999994</v>
      </c>
      <c r="T49">
        <v>6578.9861595702696</v>
      </c>
      <c r="U49">
        <v>26280.778482782502</v>
      </c>
      <c r="V49">
        <v>39421.168724173796</v>
      </c>
    </row>
    <row r="50" spans="7:22" x14ac:dyDescent="0.25">
      <c r="G50">
        <v>8707.0059999999994</v>
      </c>
      <c r="H50">
        <v>0</v>
      </c>
      <c r="I50">
        <v>49.0564999999999</v>
      </c>
      <c r="J50">
        <v>96.079999999999899</v>
      </c>
      <c r="K50">
        <v>47.023499999999999</v>
      </c>
      <c r="M50">
        <v>8707.0059999999994</v>
      </c>
      <c r="N50">
        <v>424004.514299153</v>
      </c>
      <c r="O50">
        <v>42106.440931504803</v>
      </c>
      <c r="P50">
        <v>607936.54053888202</v>
      </c>
      <c r="Q50">
        <v>141825.585308223</v>
      </c>
      <c r="S50">
        <v>8707.0059999999994</v>
      </c>
      <c r="T50">
        <v>6578.9861595702696</v>
      </c>
      <c r="U50">
        <v>26280.778482782502</v>
      </c>
      <c r="V50">
        <v>39421.168724173796</v>
      </c>
    </row>
    <row r="51" spans="7:22" x14ac:dyDescent="0.25">
      <c r="G51">
        <v>8708.0059999999994</v>
      </c>
      <c r="H51">
        <v>0</v>
      </c>
      <c r="I51">
        <v>37.4104999999999</v>
      </c>
      <c r="J51">
        <v>89.249999999999901</v>
      </c>
      <c r="K51">
        <v>51.839500000000001</v>
      </c>
      <c r="M51">
        <v>8708.0059999999994</v>
      </c>
      <c r="N51">
        <v>424040.57229915302</v>
      </c>
      <c r="O51">
        <v>42111.275931504802</v>
      </c>
      <c r="P51">
        <v>607993.72053888196</v>
      </c>
      <c r="Q51">
        <v>141841.87230822301</v>
      </c>
      <c r="S51">
        <v>8708.0059999999994</v>
      </c>
      <c r="T51">
        <v>6578.9861595702696</v>
      </c>
      <c r="U51">
        <v>26280.778482782502</v>
      </c>
      <c r="V51">
        <v>39421.168724173796</v>
      </c>
    </row>
    <row r="52" spans="7:22" x14ac:dyDescent="0.25">
      <c r="G52">
        <v>8709.0059999999994</v>
      </c>
      <c r="H52">
        <v>0</v>
      </c>
      <c r="I52">
        <v>18.514499999999899</v>
      </c>
      <c r="J52">
        <v>72.969999999999899</v>
      </c>
      <c r="K52">
        <v>54.455500000000001</v>
      </c>
      <c r="M52">
        <v>8709.0059999999994</v>
      </c>
      <c r="N52">
        <v>424058.085299153</v>
      </c>
      <c r="O52">
        <v>42116.110931504802</v>
      </c>
      <c r="P52">
        <v>608032.35553888197</v>
      </c>
      <c r="Q52">
        <v>141858.159308223</v>
      </c>
      <c r="S52">
        <v>8709.0059999999994</v>
      </c>
      <c r="T52">
        <v>6578.9861595702696</v>
      </c>
      <c r="U52">
        <v>26280.778482782502</v>
      </c>
      <c r="V52">
        <v>39421.168724173796</v>
      </c>
    </row>
    <row r="53" spans="7:22" x14ac:dyDescent="0.25">
      <c r="G53">
        <v>8710.0059999999994</v>
      </c>
      <c r="H53">
        <v>0</v>
      </c>
      <c r="I53">
        <v>10.3974999999999</v>
      </c>
      <c r="J53">
        <v>66.8599999999999</v>
      </c>
      <c r="K53">
        <v>56.462499999999999</v>
      </c>
      <c r="M53">
        <v>8710.0059999999994</v>
      </c>
      <c r="N53">
        <v>424067.634299153</v>
      </c>
      <c r="O53">
        <v>42120.946931504797</v>
      </c>
      <c r="P53">
        <v>608063.02653888206</v>
      </c>
      <c r="Q53">
        <v>141874.44630822301</v>
      </c>
      <c r="S53">
        <v>8710.0059999999994</v>
      </c>
      <c r="T53">
        <v>6578.9861595702696</v>
      </c>
      <c r="U53">
        <v>26280.778482782502</v>
      </c>
      <c r="V53">
        <v>39421.168724173796</v>
      </c>
    </row>
    <row r="54" spans="7:22" x14ac:dyDescent="0.25">
      <c r="G54">
        <v>8711.0059999999994</v>
      </c>
      <c r="H54">
        <v>0</v>
      </c>
      <c r="I54">
        <v>4.9999999998817603E-4</v>
      </c>
      <c r="J54">
        <v>55.309999999999903</v>
      </c>
      <c r="K54">
        <v>58.743499999999997</v>
      </c>
      <c r="M54">
        <v>8711.0059999999994</v>
      </c>
      <c r="N54">
        <v>424067.634299153</v>
      </c>
      <c r="O54">
        <v>42125.781931504796</v>
      </c>
      <c r="P54">
        <v>608084.14853888203</v>
      </c>
      <c r="Q54">
        <v>141890.73330822299</v>
      </c>
      <c r="S54">
        <v>8711.0059999999994</v>
      </c>
      <c r="T54">
        <v>6579.5911595702701</v>
      </c>
      <c r="U54">
        <v>26280.778482782502</v>
      </c>
      <c r="V54">
        <v>39421.168724173796</v>
      </c>
    </row>
    <row r="55" spans="7:22" x14ac:dyDescent="0.25">
      <c r="G55">
        <v>8712.0059999999994</v>
      </c>
      <c r="H55">
        <v>0</v>
      </c>
      <c r="I55">
        <v>4.9999999998817603E-4</v>
      </c>
      <c r="J55">
        <v>43.079999999999899</v>
      </c>
      <c r="K55">
        <v>59.471499999999999</v>
      </c>
      <c r="M55">
        <v>8712.0059999999994</v>
      </c>
      <c r="N55">
        <v>424067.634299153</v>
      </c>
      <c r="O55">
        <v>42130.616931504803</v>
      </c>
      <c r="P55">
        <v>608105.270538882</v>
      </c>
      <c r="Q55">
        <v>141907.01930822301</v>
      </c>
      <c r="S55">
        <v>8712.0059999999994</v>
      </c>
      <c r="T55">
        <v>6583.1441595702699</v>
      </c>
      <c r="U55">
        <v>26280.778482782502</v>
      </c>
      <c r="V55">
        <v>39421.168724173796</v>
      </c>
    </row>
    <row r="56" spans="7:22" x14ac:dyDescent="0.25">
      <c r="G56">
        <v>8713.0059999999994</v>
      </c>
      <c r="H56">
        <v>0</v>
      </c>
      <c r="I56">
        <v>4.9999999998817603E-4</v>
      </c>
      <c r="J56">
        <v>35.169999999999902</v>
      </c>
      <c r="K56">
        <v>59.5565</v>
      </c>
      <c r="M56">
        <v>8713.0059999999994</v>
      </c>
      <c r="N56">
        <v>424067.634299153</v>
      </c>
      <c r="O56">
        <v>42135.452931504798</v>
      </c>
      <c r="P56">
        <v>608126.39353888202</v>
      </c>
      <c r="Q56">
        <v>141923.30630822299</v>
      </c>
      <c r="S56">
        <v>8713.0059999999994</v>
      </c>
      <c r="T56">
        <v>6588.3731595702702</v>
      </c>
      <c r="U56">
        <v>26280.778482782502</v>
      </c>
      <c r="V56">
        <v>39421.168724173796</v>
      </c>
    </row>
    <row r="57" spans="7:22" x14ac:dyDescent="0.25">
      <c r="G57">
        <v>8714.0059999999994</v>
      </c>
      <c r="H57">
        <v>0</v>
      </c>
      <c r="I57">
        <v>4.9999999998817603E-4</v>
      </c>
      <c r="J57">
        <v>33.869999999999898</v>
      </c>
      <c r="K57">
        <v>61.149500000000003</v>
      </c>
      <c r="M57">
        <v>8714.0059999999994</v>
      </c>
      <c r="N57">
        <v>424067.634299153</v>
      </c>
      <c r="O57">
        <v>42140.287931504798</v>
      </c>
      <c r="P57">
        <v>608147.515538882</v>
      </c>
      <c r="Q57">
        <v>141939.593308223</v>
      </c>
      <c r="S57">
        <v>8714.0059999999994</v>
      </c>
      <c r="T57">
        <v>6594.1771595702703</v>
      </c>
      <c r="U57">
        <v>26280.778482782502</v>
      </c>
      <c r="V57">
        <v>39421.168724173796</v>
      </c>
    </row>
    <row r="58" spans="7:22" x14ac:dyDescent="0.25">
      <c r="G58">
        <v>8715.0059999999994</v>
      </c>
      <c r="H58">
        <v>0</v>
      </c>
      <c r="I58">
        <v>4.9999999998817603E-4</v>
      </c>
      <c r="J58">
        <v>31.6299999999999</v>
      </c>
      <c r="K58">
        <v>63.689500000000002</v>
      </c>
      <c r="M58">
        <v>8715.0059999999994</v>
      </c>
      <c r="N58">
        <v>424067.634299153</v>
      </c>
      <c r="O58">
        <v>42145.123931504801</v>
      </c>
      <c r="P58">
        <v>608168.63753888197</v>
      </c>
      <c r="Q58">
        <v>141955.88030822299</v>
      </c>
      <c r="S58">
        <v>8715.0059999999994</v>
      </c>
      <c r="T58">
        <v>6600.8261595702697</v>
      </c>
      <c r="U58">
        <v>26280.778482782502</v>
      </c>
      <c r="V58">
        <v>39421.168724173796</v>
      </c>
    </row>
    <row r="59" spans="7:22" x14ac:dyDescent="0.25">
      <c r="G59">
        <v>8716.0059999999994</v>
      </c>
      <c r="H59">
        <v>0</v>
      </c>
      <c r="I59">
        <v>4.9999999998817603E-4</v>
      </c>
      <c r="J59">
        <v>31.049999999999901</v>
      </c>
      <c r="K59">
        <v>65.239500000000007</v>
      </c>
      <c r="M59">
        <v>8716.0059999999994</v>
      </c>
      <c r="N59">
        <v>424067.634299153</v>
      </c>
      <c r="O59">
        <v>42149.9589315048</v>
      </c>
      <c r="P59">
        <v>608189.75953888195</v>
      </c>
      <c r="Q59">
        <v>141972.167308223</v>
      </c>
      <c r="S59">
        <v>8716.0059999999994</v>
      </c>
      <c r="T59">
        <v>6607.9771595702696</v>
      </c>
      <c r="U59">
        <v>26280.778482782502</v>
      </c>
      <c r="V59">
        <v>39421.168724173796</v>
      </c>
    </row>
    <row r="60" spans="7:22" x14ac:dyDescent="0.25">
      <c r="G60">
        <v>8717.0059999999994</v>
      </c>
      <c r="H60">
        <v>0</v>
      </c>
      <c r="I60">
        <v>-4.9500000000008898E-2</v>
      </c>
      <c r="J60">
        <v>33.509999999999899</v>
      </c>
      <c r="K60">
        <v>66.095500000000001</v>
      </c>
      <c r="M60">
        <v>8717.0059999999994</v>
      </c>
      <c r="N60">
        <v>424067.623299153</v>
      </c>
      <c r="O60">
        <v>42154.793931504799</v>
      </c>
      <c r="P60">
        <v>608210.87153888203</v>
      </c>
      <c r="Q60">
        <v>141988.45330822299</v>
      </c>
      <c r="S60">
        <v>8717.0059999999994</v>
      </c>
      <c r="T60">
        <v>6614.9351595702701</v>
      </c>
      <c r="U60">
        <v>26280.7894827825</v>
      </c>
      <c r="V60">
        <v>39421.1847241738</v>
      </c>
    </row>
    <row r="61" spans="7:22" x14ac:dyDescent="0.25">
      <c r="G61">
        <v>8718.0059999999994</v>
      </c>
      <c r="H61">
        <v>0</v>
      </c>
      <c r="I61">
        <v>4.9999999998817603E-4</v>
      </c>
      <c r="J61">
        <v>41.019999999999897</v>
      </c>
      <c r="K61">
        <v>67.032499999999999</v>
      </c>
      <c r="M61">
        <v>8718.0059999999994</v>
      </c>
      <c r="N61">
        <v>424067.623299153</v>
      </c>
      <c r="O61">
        <v>42159.629931504802</v>
      </c>
      <c r="P61">
        <v>608231.993538882</v>
      </c>
      <c r="Q61">
        <v>142004.740308223</v>
      </c>
      <c r="S61">
        <v>8718.0059999999994</v>
      </c>
      <c r="T61">
        <v>6620.5471595702702</v>
      </c>
      <c r="U61">
        <v>26280.7894827825</v>
      </c>
      <c r="V61">
        <v>39421.1847241738</v>
      </c>
    </row>
    <row r="62" spans="7:22" x14ac:dyDescent="0.25">
      <c r="G62">
        <v>8719.0059999999994</v>
      </c>
      <c r="H62">
        <v>0</v>
      </c>
      <c r="I62">
        <v>-7.9500000000010104E-2</v>
      </c>
      <c r="J62">
        <v>47.339999999999897</v>
      </c>
      <c r="K62">
        <v>67.865499999999997</v>
      </c>
      <c r="M62">
        <v>8719.0059999999994</v>
      </c>
      <c r="N62">
        <v>424067.60629915301</v>
      </c>
      <c r="O62">
        <v>42164.464931504801</v>
      </c>
      <c r="P62">
        <v>608253.09853888198</v>
      </c>
      <c r="Q62">
        <v>142021.02730822301</v>
      </c>
      <c r="S62">
        <v>8719.0059999999994</v>
      </c>
      <c r="T62">
        <v>6624.9691595702698</v>
      </c>
      <c r="U62">
        <v>26280.8064827825</v>
      </c>
      <c r="V62">
        <v>39421.210724173798</v>
      </c>
    </row>
    <row r="63" spans="7:22" x14ac:dyDescent="0.25">
      <c r="G63">
        <v>8720.0059999999994</v>
      </c>
      <c r="H63">
        <v>5.0000000000000001E-3</v>
      </c>
      <c r="I63">
        <v>4.9999999998817603E-4</v>
      </c>
      <c r="J63">
        <v>61.1099999999999</v>
      </c>
      <c r="K63">
        <v>68.709500000000006</v>
      </c>
      <c r="M63">
        <v>8720.0059999999994</v>
      </c>
      <c r="N63">
        <v>424067.60629915301</v>
      </c>
      <c r="O63">
        <v>42169.2999315048</v>
      </c>
      <c r="P63">
        <v>608274.22053888196</v>
      </c>
      <c r="Q63">
        <v>142037.31430822299</v>
      </c>
      <c r="S63">
        <v>8720.0059999999994</v>
      </c>
      <c r="T63">
        <v>6626.6161595702697</v>
      </c>
      <c r="U63">
        <v>26280.8064827825</v>
      </c>
      <c r="V63">
        <v>39421.210724173798</v>
      </c>
    </row>
    <row r="64" spans="7:22" x14ac:dyDescent="0.25">
      <c r="G64">
        <v>8721.0059999999994</v>
      </c>
      <c r="H64">
        <v>0.501</v>
      </c>
      <c r="I64">
        <v>4.9999999998817603E-4</v>
      </c>
      <c r="J64">
        <v>66.899999999999906</v>
      </c>
      <c r="K64">
        <v>69.078500000000005</v>
      </c>
      <c r="M64">
        <v>8721.0059999999994</v>
      </c>
      <c r="N64">
        <v>424067.60629915301</v>
      </c>
      <c r="O64">
        <v>42174.135931504803</v>
      </c>
      <c r="P64">
        <v>608295.34253888205</v>
      </c>
      <c r="Q64">
        <v>142053.60130822301</v>
      </c>
      <c r="S64">
        <v>8721.0059999999994</v>
      </c>
      <c r="T64">
        <v>6627.2011595702697</v>
      </c>
      <c r="U64">
        <v>26280.8064827825</v>
      </c>
      <c r="V64">
        <v>39421.210724173798</v>
      </c>
    </row>
    <row r="65" spans="7:22" x14ac:dyDescent="0.25">
      <c r="G65">
        <v>8722.0059999999994</v>
      </c>
      <c r="H65">
        <v>1.956</v>
      </c>
      <c r="I65">
        <v>-9.2500000000008201E-2</v>
      </c>
      <c r="J65">
        <v>63.209999999999901</v>
      </c>
      <c r="K65">
        <v>69.860500000000002</v>
      </c>
      <c r="M65">
        <v>8722.0059999999994</v>
      </c>
      <c r="N65">
        <v>424067.585299153</v>
      </c>
      <c r="O65">
        <v>42178.970931504802</v>
      </c>
      <c r="P65">
        <v>608316.444538882</v>
      </c>
      <c r="Q65">
        <v>142069.88830822299</v>
      </c>
      <c r="S65">
        <v>8722.0059999999994</v>
      </c>
      <c r="T65">
        <v>6629.0801595702696</v>
      </c>
      <c r="U65">
        <v>26280.827482782501</v>
      </c>
      <c r="V65">
        <v>39421.240724173796</v>
      </c>
    </row>
    <row r="66" spans="7:22" x14ac:dyDescent="0.25">
      <c r="G66">
        <v>8723.0059999999994</v>
      </c>
      <c r="H66">
        <v>3.18</v>
      </c>
      <c r="I66">
        <v>-7.7500000000007604E-2</v>
      </c>
      <c r="J66">
        <v>64.159999999999897</v>
      </c>
      <c r="K66">
        <v>68.563500000000005</v>
      </c>
      <c r="M66">
        <v>8723.0059999999994</v>
      </c>
      <c r="N66">
        <v>424067.568299153</v>
      </c>
      <c r="O66">
        <v>42183.806931504798</v>
      </c>
      <c r="P66">
        <v>608337.54953888198</v>
      </c>
      <c r="Q66">
        <v>142086.17430822301</v>
      </c>
      <c r="S66">
        <v>8723.0059999999994</v>
      </c>
      <c r="T66">
        <v>6630.7321595702697</v>
      </c>
      <c r="U66">
        <v>26280.844482782501</v>
      </c>
      <c r="V66">
        <v>39421.265724173798</v>
      </c>
    </row>
    <row r="67" spans="7:22" x14ac:dyDescent="0.25">
      <c r="G67">
        <v>8724.0059999999994</v>
      </c>
      <c r="H67">
        <v>3.38</v>
      </c>
      <c r="I67">
        <v>-6.5500000000007205E-2</v>
      </c>
      <c r="J67">
        <v>63.189999999999898</v>
      </c>
      <c r="K67">
        <v>66.4435</v>
      </c>
      <c r="M67">
        <v>8724.0059999999994</v>
      </c>
      <c r="N67">
        <v>424067.55429915298</v>
      </c>
      <c r="O67">
        <v>42188.641931504797</v>
      </c>
      <c r="P67">
        <v>608358.65753888199</v>
      </c>
      <c r="Q67">
        <v>142102.46130822299</v>
      </c>
      <c r="S67">
        <v>8724.0059999999994</v>
      </c>
      <c r="T67">
        <v>6632.1961595702696</v>
      </c>
      <c r="U67">
        <v>26280.8584827825</v>
      </c>
      <c r="V67">
        <v>39421.287724173802</v>
      </c>
    </row>
    <row r="68" spans="7:22" x14ac:dyDescent="0.25">
      <c r="G68">
        <v>8725.0059999999994</v>
      </c>
      <c r="H68">
        <v>2.8650000000000002</v>
      </c>
      <c r="I68">
        <v>4.9999999998817603E-4</v>
      </c>
      <c r="J68">
        <v>66.649999999999906</v>
      </c>
      <c r="K68">
        <v>65.535499999999999</v>
      </c>
      <c r="M68">
        <v>8725.0059999999994</v>
      </c>
      <c r="N68">
        <v>424067.55429915298</v>
      </c>
      <c r="O68">
        <v>42193.476931504803</v>
      </c>
      <c r="P68">
        <v>608379.77953888196</v>
      </c>
      <c r="Q68">
        <v>142118.748308223</v>
      </c>
      <c r="S68">
        <v>8725.0059999999994</v>
      </c>
      <c r="T68">
        <v>6632.58615957027</v>
      </c>
      <c r="U68">
        <v>26280.8584827825</v>
      </c>
      <c r="V68">
        <v>39421.287724173802</v>
      </c>
    </row>
    <row r="69" spans="7:22" x14ac:dyDescent="0.25">
      <c r="G69">
        <v>8726.0059999999994</v>
      </c>
      <c r="H69">
        <v>1.605</v>
      </c>
      <c r="I69">
        <v>0.73649999999999205</v>
      </c>
      <c r="J69">
        <v>63.389999999999901</v>
      </c>
      <c r="K69">
        <v>61.049500000000002</v>
      </c>
      <c r="M69">
        <v>8726.0059999999994</v>
      </c>
      <c r="N69">
        <v>424068.37729915301</v>
      </c>
      <c r="O69">
        <v>42198.312931504799</v>
      </c>
      <c r="P69">
        <v>608401.72453888203</v>
      </c>
      <c r="Q69">
        <v>142135.03530822301</v>
      </c>
      <c r="S69">
        <v>8726.0059999999994</v>
      </c>
      <c r="T69">
        <v>6632.58615957027</v>
      </c>
      <c r="U69">
        <v>26280.8584827825</v>
      </c>
      <c r="V69">
        <v>39421.287724173802</v>
      </c>
    </row>
    <row r="70" spans="7:22" x14ac:dyDescent="0.25">
      <c r="G70">
        <v>8727.0059999999994</v>
      </c>
      <c r="H70">
        <v>0.22800000000000001</v>
      </c>
      <c r="I70">
        <v>22.4164999999999</v>
      </c>
      <c r="J70">
        <v>77.489999999999895</v>
      </c>
      <c r="K70">
        <v>54.844499999999996</v>
      </c>
      <c r="M70">
        <v>8727.0059999999994</v>
      </c>
      <c r="N70">
        <v>424093.210299153</v>
      </c>
      <c r="O70">
        <v>42203.147931504798</v>
      </c>
      <c r="P70">
        <v>608447.68053888204</v>
      </c>
      <c r="Q70">
        <v>142151.322308223</v>
      </c>
      <c r="S70">
        <v>8727.0059999999994</v>
      </c>
      <c r="T70">
        <v>6632.58615957027</v>
      </c>
      <c r="U70">
        <v>26280.8584827825</v>
      </c>
      <c r="V70">
        <v>39421.287724173802</v>
      </c>
    </row>
    <row r="71" spans="7:22" x14ac:dyDescent="0.25">
      <c r="G71">
        <v>8728.0059999999994</v>
      </c>
      <c r="H71">
        <v>2E-3</v>
      </c>
      <c r="I71">
        <v>34.508499999999898</v>
      </c>
      <c r="J71">
        <v>84.709999999999894</v>
      </c>
      <c r="K71">
        <v>50.1995</v>
      </c>
      <c r="M71">
        <v>8728.0059999999994</v>
      </c>
      <c r="N71">
        <v>424133.67929915298</v>
      </c>
      <c r="O71">
        <v>42207.982931504797</v>
      </c>
      <c r="P71">
        <v>608509.27153888205</v>
      </c>
      <c r="Q71">
        <v>142167.60830822299</v>
      </c>
      <c r="S71">
        <v>8728.0059999999994</v>
      </c>
      <c r="T71">
        <v>6632.58615957027</v>
      </c>
      <c r="U71">
        <v>26280.8584827825</v>
      </c>
      <c r="V71">
        <v>39421.287724173802</v>
      </c>
    </row>
    <row r="72" spans="7:22" x14ac:dyDescent="0.25">
      <c r="G72">
        <v>8729.0059999999994</v>
      </c>
      <c r="H72">
        <v>0</v>
      </c>
      <c r="I72">
        <v>58.9194999999999</v>
      </c>
      <c r="J72">
        <v>108.789999999999</v>
      </c>
      <c r="K72">
        <v>49.8705</v>
      </c>
      <c r="M72">
        <v>8729.0059999999994</v>
      </c>
      <c r="N72">
        <v>424206.291299153</v>
      </c>
      <c r="O72">
        <v>42212.8189315048</v>
      </c>
      <c r="P72">
        <v>608603.00553888199</v>
      </c>
      <c r="Q72">
        <v>142183.895308223</v>
      </c>
      <c r="S72">
        <v>8729.0059999999994</v>
      </c>
      <c r="T72">
        <v>6632.58615957027</v>
      </c>
      <c r="U72">
        <v>26280.8584827825</v>
      </c>
      <c r="V72">
        <v>39421.287724173802</v>
      </c>
    </row>
    <row r="73" spans="7:22" x14ac:dyDescent="0.25">
      <c r="G73">
        <v>8730.0059999999994</v>
      </c>
      <c r="H73">
        <v>0</v>
      </c>
      <c r="I73">
        <v>53.5994999999999</v>
      </c>
      <c r="J73">
        <v>105.819999999999</v>
      </c>
      <c r="K73">
        <v>52.220500000000001</v>
      </c>
      <c r="M73">
        <v>8730.0059999999994</v>
      </c>
      <c r="N73">
        <v>424270.90629915299</v>
      </c>
      <c r="O73">
        <v>42217.653931504799</v>
      </c>
      <c r="P73">
        <v>608688.74253888195</v>
      </c>
      <c r="Q73">
        <v>142200.18230822301</v>
      </c>
      <c r="S73">
        <v>8730.0059999999994</v>
      </c>
      <c r="T73">
        <v>6632.58615957027</v>
      </c>
      <c r="U73">
        <v>26280.8584827825</v>
      </c>
      <c r="V73">
        <v>39421.287724173802</v>
      </c>
    </row>
    <row r="74" spans="7:22" x14ac:dyDescent="0.25">
      <c r="G74">
        <v>8731.0059999999994</v>
      </c>
      <c r="H74">
        <v>0</v>
      </c>
      <c r="I74">
        <v>38.647499999999901</v>
      </c>
      <c r="J74">
        <v>88.809999999999903</v>
      </c>
      <c r="K74">
        <v>50.162500000000001</v>
      </c>
      <c r="M74">
        <v>8731.0059999999994</v>
      </c>
      <c r="N74">
        <v>424316.89129915298</v>
      </c>
      <c r="O74">
        <v>42222.489931504802</v>
      </c>
      <c r="P74">
        <v>608755.85053888196</v>
      </c>
      <c r="Q74">
        <v>142216.46930822299</v>
      </c>
      <c r="S74">
        <v>8731.0059999999994</v>
      </c>
      <c r="T74">
        <v>6632.58615957027</v>
      </c>
      <c r="U74">
        <v>26280.8584827825</v>
      </c>
      <c r="V74">
        <v>39421.287724173802</v>
      </c>
    </row>
    <row r="75" spans="7:22" x14ac:dyDescent="0.25">
      <c r="G75">
        <v>8732.0059999999994</v>
      </c>
      <c r="H75">
        <v>0</v>
      </c>
      <c r="I75">
        <v>41.701499999999903</v>
      </c>
      <c r="J75">
        <v>89.599999999999895</v>
      </c>
      <c r="K75">
        <v>47.898499999999999</v>
      </c>
      <c r="M75">
        <v>8732.0059999999994</v>
      </c>
      <c r="N75">
        <v>424366.41829915298</v>
      </c>
      <c r="O75">
        <v>42227.324931504801</v>
      </c>
      <c r="P75">
        <v>608826.49853888201</v>
      </c>
      <c r="Q75">
        <v>142232.756308223</v>
      </c>
      <c r="S75">
        <v>8732.0059999999994</v>
      </c>
      <c r="T75">
        <v>6632.58615957027</v>
      </c>
      <c r="U75">
        <v>26280.8584827825</v>
      </c>
      <c r="V75">
        <v>39421.287724173802</v>
      </c>
    </row>
    <row r="76" spans="7:22" x14ac:dyDescent="0.25">
      <c r="G76">
        <v>8733.0059999999994</v>
      </c>
      <c r="H76">
        <v>0</v>
      </c>
      <c r="I76">
        <v>37.764499999999899</v>
      </c>
      <c r="J76">
        <v>83.809999999999903</v>
      </c>
      <c r="K76">
        <v>46.045499999999997</v>
      </c>
      <c r="M76">
        <v>8733.0059999999994</v>
      </c>
      <c r="N76">
        <v>424411.40929915302</v>
      </c>
      <c r="O76">
        <v>42232.159931504801</v>
      </c>
      <c r="P76">
        <v>608892.61253888195</v>
      </c>
      <c r="Q76">
        <v>142249.042308223</v>
      </c>
      <c r="S76">
        <v>8733.0059999999994</v>
      </c>
      <c r="T76">
        <v>6632.58615957027</v>
      </c>
      <c r="U76">
        <v>26280.8584827825</v>
      </c>
      <c r="V76">
        <v>39421.287724173802</v>
      </c>
    </row>
    <row r="77" spans="7:22" x14ac:dyDescent="0.25">
      <c r="G77">
        <v>8734.0059999999994</v>
      </c>
      <c r="H77">
        <v>0</v>
      </c>
      <c r="I77">
        <v>26.8704999999999</v>
      </c>
      <c r="J77">
        <v>71.009999999999906</v>
      </c>
      <c r="K77">
        <v>44.139499999999998</v>
      </c>
      <c r="M77">
        <v>8734.0059999999994</v>
      </c>
      <c r="N77">
        <v>424441.237299153</v>
      </c>
      <c r="O77">
        <v>42236.995931504804</v>
      </c>
      <c r="P77">
        <v>608943.56253888202</v>
      </c>
      <c r="Q77">
        <v>142265.32930822301</v>
      </c>
      <c r="S77">
        <v>8734.0059999999994</v>
      </c>
      <c r="T77">
        <v>6632.58615957027</v>
      </c>
      <c r="U77">
        <v>26280.8584827825</v>
      </c>
      <c r="V77">
        <v>39421.287724173802</v>
      </c>
    </row>
    <row r="78" spans="7:22" x14ac:dyDescent="0.25">
      <c r="G78">
        <v>8735.0059999999994</v>
      </c>
      <c r="H78">
        <v>0</v>
      </c>
      <c r="I78">
        <v>16.531499999999902</v>
      </c>
      <c r="J78">
        <v>58.649999999999899</v>
      </c>
      <c r="K78">
        <v>42.118499999999997</v>
      </c>
      <c r="M78">
        <v>8735.0059999999994</v>
      </c>
      <c r="N78">
        <v>424459.11929915298</v>
      </c>
      <c r="O78">
        <v>42241.830931504803</v>
      </c>
      <c r="P78">
        <v>608982.56653888198</v>
      </c>
      <c r="Q78">
        <v>142281.61630822299</v>
      </c>
      <c r="S78">
        <v>8735.0059999999994</v>
      </c>
      <c r="T78">
        <v>6632.58615957027</v>
      </c>
      <c r="U78">
        <v>26280.8584827825</v>
      </c>
      <c r="V78">
        <v>39421.287724173802</v>
      </c>
    </row>
    <row r="79" spans="7:22" x14ac:dyDescent="0.25">
      <c r="G79">
        <v>8736.0059999999994</v>
      </c>
      <c r="H79">
        <v>0</v>
      </c>
      <c r="I79">
        <v>4.9999999998817603E-4</v>
      </c>
      <c r="J79">
        <v>44.729999999999897</v>
      </c>
      <c r="K79">
        <v>44.733499999999999</v>
      </c>
      <c r="M79">
        <v>8736.0059999999994</v>
      </c>
      <c r="N79">
        <v>424459.11929915298</v>
      </c>
      <c r="O79">
        <v>42246.665931504802</v>
      </c>
      <c r="P79">
        <v>609003.689538882</v>
      </c>
      <c r="Q79">
        <v>142297.903308223</v>
      </c>
      <c r="S79">
        <v>8736.0059999999994</v>
      </c>
      <c r="T79">
        <v>6632.58615957027</v>
      </c>
      <c r="U79">
        <v>26280.8584827825</v>
      </c>
      <c r="V79">
        <v>39421.287724173802</v>
      </c>
    </row>
    <row r="80" spans="7:22" x14ac:dyDescent="0.25">
      <c r="G80">
        <v>8737.0059999999994</v>
      </c>
      <c r="H80">
        <v>0</v>
      </c>
      <c r="I80">
        <v>4.9999999998817603E-4</v>
      </c>
      <c r="J80">
        <v>36.5399999999999</v>
      </c>
      <c r="K80">
        <v>45.066499999999998</v>
      </c>
      <c r="M80">
        <v>8737.0059999999994</v>
      </c>
      <c r="N80">
        <v>424459.11929915298</v>
      </c>
      <c r="O80">
        <v>42251.501931504798</v>
      </c>
      <c r="P80">
        <v>609024.81153888197</v>
      </c>
      <c r="Q80">
        <v>142314.19030822301</v>
      </c>
      <c r="S80">
        <v>8737.0059999999994</v>
      </c>
      <c r="T80">
        <v>6634.4161595702699</v>
      </c>
      <c r="U80">
        <v>26280.8584827825</v>
      </c>
      <c r="V80">
        <v>39421.287724173802</v>
      </c>
    </row>
    <row r="81" spans="7:22" x14ac:dyDescent="0.25">
      <c r="G81">
        <v>8738.0059999999994</v>
      </c>
      <c r="H81">
        <v>0</v>
      </c>
      <c r="I81">
        <v>4.9999999998817603E-4</v>
      </c>
      <c r="J81">
        <v>33.5399999999999</v>
      </c>
      <c r="K81">
        <v>43.769500000000001</v>
      </c>
      <c r="M81">
        <v>8738.0059999999994</v>
      </c>
      <c r="N81">
        <v>424459.11929915298</v>
      </c>
      <c r="O81">
        <v>42256.336931504797</v>
      </c>
      <c r="P81">
        <v>609045.93353888195</v>
      </c>
      <c r="Q81">
        <v>142330.47730822299</v>
      </c>
      <c r="S81">
        <v>8738.0059999999994</v>
      </c>
      <c r="T81">
        <v>6636.55515957027</v>
      </c>
      <c r="U81">
        <v>26280.8584827825</v>
      </c>
      <c r="V81">
        <v>39421.287724173802</v>
      </c>
    </row>
    <row r="82" spans="7:22" x14ac:dyDescent="0.25">
      <c r="G82">
        <v>8739.0059999999994</v>
      </c>
      <c r="H82">
        <v>0</v>
      </c>
      <c r="I82">
        <v>4.9999999998817603E-4</v>
      </c>
      <c r="J82">
        <v>29.5199999999999</v>
      </c>
      <c r="K82">
        <v>43.8125</v>
      </c>
      <c r="M82">
        <v>8739.0059999999994</v>
      </c>
      <c r="N82">
        <v>424459.11929915298</v>
      </c>
      <c r="O82">
        <v>42261.1729315048</v>
      </c>
      <c r="P82">
        <v>609067.05553888204</v>
      </c>
      <c r="Q82">
        <v>142346.76330822299</v>
      </c>
      <c r="S82">
        <v>8739.0059999999994</v>
      </c>
      <c r="T82">
        <v>6639.5451595702698</v>
      </c>
      <c r="U82">
        <v>26280.8584827825</v>
      </c>
      <c r="V82">
        <v>39421.287724173802</v>
      </c>
    </row>
    <row r="83" spans="7:22" x14ac:dyDescent="0.25">
      <c r="G83">
        <v>8740.0059999999994</v>
      </c>
      <c r="H83">
        <v>0</v>
      </c>
      <c r="I83">
        <v>4.9999999998817603E-4</v>
      </c>
      <c r="J83">
        <v>28.959999999999901</v>
      </c>
      <c r="K83">
        <v>44.345500000000001</v>
      </c>
      <c r="M83">
        <v>8740.0059999999994</v>
      </c>
      <c r="N83">
        <v>424459.11929915298</v>
      </c>
      <c r="O83">
        <v>42266.007931504799</v>
      </c>
      <c r="P83">
        <v>609088.17753888201</v>
      </c>
      <c r="Q83">
        <v>142363.050308223</v>
      </c>
      <c r="S83">
        <v>8740.0059999999994</v>
      </c>
      <c r="T83">
        <v>6642.9241595702697</v>
      </c>
      <c r="U83">
        <v>26280.8584827825</v>
      </c>
      <c r="V83">
        <v>39421.287724173802</v>
      </c>
    </row>
    <row r="84" spans="7:22" x14ac:dyDescent="0.25">
      <c r="G84">
        <v>8741.0059999999994</v>
      </c>
      <c r="H84">
        <v>0</v>
      </c>
      <c r="I84">
        <v>4.9999999998817603E-4</v>
      </c>
      <c r="J84">
        <v>30.899999999999899</v>
      </c>
      <c r="K84">
        <v>44.532499999999999</v>
      </c>
      <c r="M84">
        <v>8741.0059999999994</v>
      </c>
      <c r="N84">
        <v>424459.11929915298</v>
      </c>
      <c r="O84">
        <v>42270.842931504798</v>
      </c>
      <c r="P84">
        <v>609109.29953888198</v>
      </c>
      <c r="Q84">
        <v>142379.33730822301</v>
      </c>
      <c r="S84">
        <v>8741.0059999999994</v>
      </c>
      <c r="T84">
        <v>6645.96115957027</v>
      </c>
      <c r="U84">
        <v>26280.8584827825</v>
      </c>
      <c r="V84">
        <v>39421.287724173802</v>
      </c>
    </row>
    <row r="85" spans="7:22" x14ac:dyDescent="0.25">
      <c r="G85">
        <v>8742.0059999999994</v>
      </c>
      <c r="H85">
        <v>0</v>
      </c>
      <c r="I85">
        <v>4.9999999998817603E-4</v>
      </c>
      <c r="J85">
        <v>36.909999999999897</v>
      </c>
      <c r="K85">
        <v>46.165500000000002</v>
      </c>
      <c r="M85">
        <v>8742.0059999999994</v>
      </c>
      <c r="N85">
        <v>424459.11929915298</v>
      </c>
      <c r="O85">
        <v>42275.678931504801</v>
      </c>
      <c r="P85">
        <v>609130.42253888201</v>
      </c>
      <c r="Q85">
        <v>142395.62430822299</v>
      </c>
      <c r="S85">
        <v>8742.0059999999994</v>
      </c>
      <c r="T85">
        <v>6648.09515957027</v>
      </c>
      <c r="U85">
        <v>26280.8584827825</v>
      </c>
      <c r="V85">
        <v>39421.287724173802</v>
      </c>
    </row>
    <row r="86" spans="7:22" x14ac:dyDescent="0.25">
      <c r="G86">
        <v>8743.0059999999994</v>
      </c>
      <c r="H86">
        <v>0</v>
      </c>
      <c r="I86">
        <v>4.9999999998817603E-4</v>
      </c>
      <c r="J86">
        <v>45.229999999999897</v>
      </c>
      <c r="K86">
        <v>47.503500000000003</v>
      </c>
      <c r="M86">
        <v>8743.0059999999994</v>
      </c>
      <c r="N86">
        <v>424459.11929915298</v>
      </c>
      <c r="O86">
        <v>42280.5139315048</v>
      </c>
      <c r="P86">
        <v>609151.54453888198</v>
      </c>
      <c r="Q86">
        <v>142411.911308223</v>
      </c>
      <c r="S86">
        <v>8743.0059999999994</v>
      </c>
      <c r="T86">
        <v>6648.6361595702701</v>
      </c>
      <c r="U86">
        <v>26280.8584827825</v>
      </c>
      <c r="V86">
        <v>39421.287724173802</v>
      </c>
    </row>
    <row r="87" spans="7:22" x14ac:dyDescent="0.25">
      <c r="G87">
        <v>8744.0059999999994</v>
      </c>
      <c r="H87">
        <v>0</v>
      </c>
      <c r="I87">
        <v>7.9994999999999896</v>
      </c>
      <c r="J87">
        <v>56.329999999999899</v>
      </c>
      <c r="K87">
        <v>48.330500000000001</v>
      </c>
      <c r="M87">
        <v>8744.0059999999994</v>
      </c>
      <c r="N87">
        <v>424468.94829915301</v>
      </c>
      <c r="O87">
        <v>42285.348931504799</v>
      </c>
      <c r="P87">
        <v>609182.49553888198</v>
      </c>
      <c r="Q87">
        <v>142428.197308223</v>
      </c>
      <c r="S87">
        <v>8744.0059999999994</v>
      </c>
      <c r="T87">
        <v>6648.6361595702701</v>
      </c>
      <c r="U87">
        <v>26280.8584827825</v>
      </c>
      <c r="V87">
        <v>39421.287724173802</v>
      </c>
    </row>
    <row r="88" spans="7:22" x14ac:dyDescent="0.25">
      <c r="G88">
        <v>8745.0059999999994</v>
      </c>
      <c r="H88">
        <v>0</v>
      </c>
      <c r="I88">
        <v>9.5424999999999898</v>
      </c>
      <c r="J88">
        <v>59.309999999999903</v>
      </c>
      <c r="K88">
        <v>49.767499999999998</v>
      </c>
      <c r="M88">
        <v>8745.0059999999994</v>
      </c>
      <c r="N88">
        <v>424480.69429915299</v>
      </c>
      <c r="O88">
        <v>42290.184931504802</v>
      </c>
      <c r="P88">
        <v>609215.363538882</v>
      </c>
      <c r="Q88">
        <v>142444.48430822301</v>
      </c>
      <c r="S88">
        <v>8745.0059999999994</v>
      </c>
      <c r="T88">
        <v>6648.6361595702701</v>
      </c>
      <c r="U88">
        <v>26280.8584827825</v>
      </c>
      <c r="V88">
        <v>39421.287724173802</v>
      </c>
    </row>
    <row r="89" spans="7:22" x14ac:dyDescent="0.25">
      <c r="G89">
        <v>8746.0059999999994</v>
      </c>
      <c r="H89">
        <v>0</v>
      </c>
      <c r="I89">
        <v>8.4434999999999807</v>
      </c>
      <c r="J89">
        <v>58.819999999999901</v>
      </c>
      <c r="K89">
        <v>50.3765</v>
      </c>
      <c r="M89">
        <v>8746.0059999999994</v>
      </c>
      <c r="N89">
        <v>424491.16229915299</v>
      </c>
      <c r="O89">
        <v>42295.019931504801</v>
      </c>
      <c r="P89">
        <v>609246.95453888201</v>
      </c>
      <c r="Q89">
        <v>142460.77130822299</v>
      </c>
      <c r="S89">
        <v>8746.0059999999994</v>
      </c>
      <c r="T89">
        <v>6648.6361595702701</v>
      </c>
      <c r="U89">
        <v>26280.8584827825</v>
      </c>
      <c r="V89">
        <v>39421.287724173802</v>
      </c>
    </row>
    <row r="90" spans="7:22" x14ac:dyDescent="0.25">
      <c r="G90">
        <v>8747.0059999999994</v>
      </c>
      <c r="H90">
        <v>0</v>
      </c>
      <c r="I90">
        <v>13.3814999999999</v>
      </c>
      <c r="J90">
        <v>63.279999999999902</v>
      </c>
      <c r="K90">
        <v>49.898499999999999</v>
      </c>
      <c r="M90">
        <v>8747.0059999999994</v>
      </c>
      <c r="N90">
        <v>424507.64329915302</v>
      </c>
      <c r="O90">
        <v>42299.855931504797</v>
      </c>
      <c r="P90">
        <v>609284.55653888197</v>
      </c>
      <c r="Q90">
        <v>142477.058308223</v>
      </c>
      <c r="S90">
        <v>8747.0059999999994</v>
      </c>
      <c r="T90">
        <v>6648.6361595702701</v>
      </c>
      <c r="U90">
        <v>26280.8584827825</v>
      </c>
      <c r="V90">
        <v>39421.287724173802</v>
      </c>
    </row>
    <row r="91" spans="7:22" x14ac:dyDescent="0.25">
      <c r="G91">
        <v>8748.0059999999994</v>
      </c>
      <c r="H91">
        <v>4.6539999999999999</v>
      </c>
      <c r="I91">
        <v>11.4904999999999</v>
      </c>
      <c r="J91">
        <v>68.259999999999906</v>
      </c>
      <c r="K91">
        <v>51.831499999999998</v>
      </c>
      <c r="M91">
        <v>8748.0059999999994</v>
      </c>
      <c r="N91">
        <v>424522.12229915301</v>
      </c>
      <c r="O91">
        <v>42304.690931504803</v>
      </c>
      <c r="P91">
        <v>609320.15853888204</v>
      </c>
      <c r="Q91">
        <v>142493.34530822301</v>
      </c>
      <c r="S91">
        <v>8748.0059999999994</v>
      </c>
      <c r="T91">
        <v>6648.6361595702701</v>
      </c>
      <c r="U91">
        <v>26280.974482782502</v>
      </c>
      <c r="V91">
        <v>39421.461724173801</v>
      </c>
    </row>
    <row r="92" spans="7:22" x14ac:dyDescent="0.25">
      <c r="G92">
        <v>8749.0059999999994</v>
      </c>
      <c r="H92">
        <v>2.363</v>
      </c>
      <c r="I92">
        <v>12.2434999999999</v>
      </c>
      <c r="J92">
        <v>67.969999999999899</v>
      </c>
      <c r="K92">
        <v>53.3645</v>
      </c>
      <c r="M92">
        <v>8749.0059999999994</v>
      </c>
      <c r="N92">
        <v>424536.97329915297</v>
      </c>
      <c r="O92">
        <v>42309.525931504802</v>
      </c>
      <c r="P92">
        <v>609356.13153888204</v>
      </c>
      <c r="Q92">
        <v>142509.63230822299</v>
      </c>
      <c r="S92">
        <v>8749.0059999999994</v>
      </c>
      <c r="T92">
        <v>6648.6361595702701</v>
      </c>
      <c r="U92">
        <v>26280.974482782502</v>
      </c>
      <c r="V92">
        <v>39421.461724173801</v>
      </c>
    </row>
    <row r="93" spans="7:22" x14ac:dyDescent="0.25">
      <c r="G93">
        <v>8750.0059999999994</v>
      </c>
      <c r="H93">
        <v>3.5030000000000001</v>
      </c>
      <c r="I93">
        <v>12.3324999999999</v>
      </c>
      <c r="J93">
        <v>70.449999999999903</v>
      </c>
      <c r="K93">
        <v>54.590499999999999</v>
      </c>
      <c r="M93">
        <v>8750.0059999999994</v>
      </c>
      <c r="N93">
        <v>424551.96929915302</v>
      </c>
      <c r="O93">
        <v>42314.361931504798</v>
      </c>
      <c r="P93">
        <v>609392.24953888205</v>
      </c>
      <c r="Q93">
        <v>142525.91830822299</v>
      </c>
      <c r="S93">
        <v>8750.0059999999994</v>
      </c>
      <c r="T93">
        <v>6648.6361595702701</v>
      </c>
      <c r="U93">
        <v>26280.988482782501</v>
      </c>
      <c r="V93">
        <v>39421.483724173799</v>
      </c>
    </row>
    <row r="94" spans="7:22" x14ac:dyDescent="0.25">
      <c r="G94">
        <v>8751.0059999999994</v>
      </c>
      <c r="H94">
        <v>3.1760000000000002</v>
      </c>
      <c r="I94">
        <v>15.0544999999999</v>
      </c>
      <c r="J94">
        <v>74.649999999999906</v>
      </c>
      <c r="K94">
        <v>56.395499999999998</v>
      </c>
      <c r="M94">
        <v>8751.0059999999994</v>
      </c>
      <c r="N94">
        <v>424570.471299153</v>
      </c>
      <c r="O94">
        <v>42319.196931504797</v>
      </c>
      <c r="P94">
        <v>609431.87353888201</v>
      </c>
      <c r="Q94">
        <v>142542.205308223</v>
      </c>
      <c r="S94">
        <v>8751.0059999999994</v>
      </c>
      <c r="T94">
        <v>6648.6361595702701</v>
      </c>
      <c r="U94">
        <v>26280.995482782499</v>
      </c>
      <c r="V94">
        <v>39421.493724173801</v>
      </c>
    </row>
    <row r="95" spans="7:22" x14ac:dyDescent="0.25">
      <c r="G95">
        <v>8752.0059999999994</v>
      </c>
      <c r="H95">
        <v>3.1760000000000002</v>
      </c>
      <c r="I95">
        <v>26.700499999999899</v>
      </c>
      <c r="J95">
        <v>88.969999999999899</v>
      </c>
      <c r="K95">
        <v>59.093499999999999</v>
      </c>
      <c r="M95">
        <v>8752.0059999999994</v>
      </c>
      <c r="N95">
        <v>424603.79529915302</v>
      </c>
      <c r="O95">
        <v>42324.031931504796</v>
      </c>
      <c r="P95">
        <v>609486.32053888205</v>
      </c>
      <c r="Q95">
        <v>142558.49230822301</v>
      </c>
      <c r="S95">
        <v>8752.0059999999994</v>
      </c>
      <c r="T95">
        <v>6648.6361595702701</v>
      </c>
      <c r="U95">
        <v>26280.995482782499</v>
      </c>
      <c r="V95">
        <v>39421.493724173801</v>
      </c>
    </row>
    <row r="96" spans="7:22" x14ac:dyDescent="0.25">
      <c r="G96">
        <v>8753.0059999999994</v>
      </c>
      <c r="H96">
        <v>3.1760000000000002</v>
      </c>
      <c r="I96">
        <v>45.524499999999897</v>
      </c>
      <c r="J96">
        <v>109.569999999999</v>
      </c>
      <c r="K96">
        <v>60.823500000000003</v>
      </c>
      <c r="M96">
        <v>8753.0059999999994</v>
      </c>
      <c r="N96">
        <v>424660.72929915303</v>
      </c>
      <c r="O96">
        <v>42328.867931504799</v>
      </c>
      <c r="P96">
        <v>609564.37653888203</v>
      </c>
      <c r="Q96">
        <v>142574.77930822299</v>
      </c>
      <c r="S96">
        <v>8753.0059999999994</v>
      </c>
      <c r="T96">
        <v>6648.6361595702701</v>
      </c>
      <c r="U96">
        <v>26281.008482782501</v>
      </c>
      <c r="V96">
        <v>39421.511724173797</v>
      </c>
    </row>
    <row r="97" spans="7:22" x14ac:dyDescent="0.25">
      <c r="G97">
        <v>8754.0059999999994</v>
      </c>
      <c r="H97">
        <v>3.1760000000000002</v>
      </c>
      <c r="I97">
        <v>44.4774999999999</v>
      </c>
      <c r="J97">
        <v>108.229999999999</v>
      </c>
      <c r="K97">
        <v>60.577500000000001</v>
      </c>
      <c r="M97">
        <v>8754.0059999999994</v>
      </c>
      <c r="N97">
        <v>424715.34429915302</v>
      </c>
      <c r="O97">
        <v>42333.702931504798</v>
      </c>
      <c r="P97">
        <v>609640.11253888195</v>
      </c>
      <c r="Q97">
        <v>142591.066308223</v>
      </c>
      <c r="S97">
        <v>8754.0059999999994</v>
      </c>
      <c r="T97">
        <v>6648.6361595702701</v>
      </c>
      <c r="U97">
        <v>26281.008482782501</v>
      </c>
      <c r="V97">
        <v>39421.511724173797</v>
      </c>
    </row>
    <row r="98" spans="7:22" x14ac:dyDescent="0.25">
      <c r="G98">
        <v>8755.0059999999994</v>
      </c>
      <c r="H98">
        <v>3.1760000000000002</v>
      </c>
      <c r="I98">
        <v>22.589499999999902</v>
      </c>
      <c r="J98">
        <v>85.619999999999905</v>
      </c>
      <c r="K98">
        <v>59.854500000000002</v>
      </c>
      <c r="M98">
        <v>8755.0059999999994</v>
      </c>
      <c r="N98">
        <v>424742.37429915299</v>
      </c>
      <c r="O98">
        <v>42338.538931504801</v>
      </c>
      <c r="P98">
        <v>609688.265538882</v>
      </c>
      <c r="Q98">
        <v>142607.35230822299</v>
      </c>
      <c r="S98">
        <v>8755.0059999999994</v>
      </c>
      <c r="T98">
        <v>6648.6361595702701</v>
      </c>
      <c r="U98">
        <v>26281.008482782501</v>
      </c>
      <c r="V98">
        <v>39421.511724173797</v>
      </c>
    </row>
    <row r="99" spans="7:22" x14ac:dyDescent="0.25">
      <c r="G99">
        <v>8756.0059999999994</v>
      </c>
      <c r="H99">
        <v>3.1760000000000002</v>
      </c>
      <c r="I99">
        <v>29.229499999999899</v>
      </c>
      <c r="J99">
        <v>91.329999999999899</v>
      </c>
      <c r="K99">
        <v>58.903500000000001</v>
      </c>
      <c r="M99">
        <v>8756.0059999999994</v>
      </c>
      <c r="N99">
        <v>424776.563299153</v>
      </c>
      <c r="O99">
        <v>42343.373931504801</v>
      </c>
      <c r="P99">
        <v>609743.57653888199</v>
      </c>
      <c r="Q99">
        <v>142623.63930822301</v>
      </c>
      <c r="S99">
        <v>8756.0059999999994</v>
      </c>
      <c r="T99">
        <v>6648.6361595702701</v>
      </c>
      <c r="U99">
        <v>26281.013482782499</v>
      </c>
      <c r="V99">
        <v>39421.519724173799</v>
      </c>
    </row>
    <row r="100" spans="7:22" x14ac:dyDescent="0.25">
      <c r="G100">
        <v>8757.0059999999994</v>
      </c>
      <c r="H100">
        <v>2.09</v>
      </c>
      <c r="I100">
        <v>12.5514999999999</v>
      </c>
      <c r="J100">
        <v>74.939999999999898</v>
      </c>
      <c r="K100">
        <v>60.298499999999997</v>
      </c>
      <c r="M100">
        <v>8757.0059999999994</v>
      </c>
      <c r="N100">
        <v>424791.01029915299</v>
      </c>
      <c r="O100">
        <v>42348.2089315048</v>
      </c>
      <c r="P100">
        <v>609779.145538882</v>
      </c>
      <c r="Q100">
        <v>142639.92630822299</v>
      </c>
      <c r="S100">
        <v>8757.0059999999994</v>
      </c>
      <c r="T100">
        <v>6648.6361595702701</v>
      </c>
      <c r="U100">
        <v>26281.013482782499</v>
      </c>
      <c r="V100">
        <v>39421.519724173799</v>
      </c>
    </row>
    <row r="101" spans="7:22" x14ac:dyDescent="0.25">
      <c r="G101">
        <v>8758.0059999999994</v>
      </c>
      <c r="H101">
        <v>0</v>
      </c>
      <c r="I101">
        <v>8.7904999999999802</v>
      </c>
      <c r="J101">
        <v>68.499999999999901</v>
      </c>
      <c r="K101">
        <v>59.709499999999998</v>
      </c>
      <c r="M101">
        <v>8758.0059999999994</v>
      </c>
      <c r="N101">
        <v>424800.846299153</v>
      </c>
      <c r="O101">
        <v>42353.044931504803</v>
      </c>
      <c r="P101">
        <v>609810.10453888203</v>
      </c>
      <c r="Q101">
        <v>142656.213308223</v>
      </c>
      <c r="S101">
        <v>8758.0059999999994</v>
      </c>
      <c r="T101">
        <v>6648.6361595702701</v>
      </c>
      <c r="U101">
        <v>26281.013482782499</v>
      </c>
      <c r="V101">
        <v>39421.519724173799</v>
      </c>
    </row>
    <row r="102" spans="7:22" x14ac:dyDescent="0.25">
      <c r="G102">
        <v>8759.0059999999994</v>
      </c>
      <c r="H102">
        <v>0</v>
      </c>
      <c r="I102">
        <v>0.552499999999987</v>
      </c>
      <c r="J102">
        <v>59.779999999999902</v>
      </c>
      <c r="K102">
        <v>59.200499999999998</v>
      </c>
      <c r="M102">
        <v>8759.0059999999994</v>
      </c>
      <c r="N102">
        <v>424801.433299153</v>
      </c>
      <c r="O102">
        <v>42357.879931504802</v>
      </c>
      <c r="P102">
        <v>609831.81353888195</v>
      </c>
      <c r="Q102">
        <v>142672.50030822301</v>
      </c>
      <c r="S102">
        <v>8759.0059999999994</v>
      </c>
      <c r="T102">
        <v>6648.6361595702701</v>
      </c>
      <c r="U102">
        <v>26281.0184827825</v>
      </c>
      <c r="V102">
        <v>39421.5277241738</v>
      </c>
    </row>
    <row r="106" spans="7:22" x14ac:dyDescent="0.25">
      <c r="K106">
        <f>44*8760</f>
        <v>385440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7EBB-57F1-4E42-B27C-3AA42DEFFE84}">
  <dimension ref="G3:Y103"/>
  <sheetViews>
    <sheetView topLeftCell="B17" workbookViewId="0">
      <selection activeCell="K4" sqref="K4:K103"/>
    </sheetView>
  </sheetViews>
  <sheetFormatPr defaultRowHeight="15" x14ac:dyDescent="0.25"/>
  <cols>
    <col min="19" max="19" width="19.5703125" bestFit="1" customWidth="1"/>
  </cols>
  <sheetData>
    <row r="3" spans="7:25" x14ac:dyDescent="0.25">
      <c r="H3" t="s">
        <v>57</v>
      </c>
      <c r="I3" t="s">
        <v>58</v>
      </c>
      <c r="J3" t="s">
        <v>59</v>
      </c>
      <c r="K3" t="s">
        <v>60</v>
      </c>
      <c r="N3" t="s">
        <v>62</v>
      </c>
      <c r="O3" t="s">
        <v>63</v>
      </c>
      <c r="P3" t="s">
        <v>64</v>
      </c>
      <c r="S3" t="s">
        <v>39</v>
      </c>
      <c r="T3" t="s">
        <v>40</v>
      </c>
      <c r="U3" t="s">
        <v>41</v>
      </c>
      <c r="V3" t="s">
        <v>61</v>
      </c>
      <c r="Y3" t="s">
        <v>42</v>
      </c>
    </row>
    <row r="4" spans="7:25" x14ac:dyDescent="0.25">
      <c r="G4">
        <v>8660.0059999999994</v>
      </c>
      <c r="H4">
        <v>0</v>
      </c>
      <c r="I4">
        <v>51.097499999999897</v>
      </c>
      <c r="J4">
        <v>82.809999999999903</v>
      </c>
      <c r="K4">
        <v>31.712499999999999</v>
      </c>
      <c r="M4">
        <v>8660.0059999999994</v>
      </c>
      <c r="N4">
        <v>6781.9619324311197</v>
      </c>
      <c r="O4">
        <v>43243.574760798001</v>
      </c>
      <c r="P4">
        <v>64865.362141197103</v>
      </c>
      <c r="R4">
        <v>8660.0059999999994</v>
      </c>
      <c r="S4">
        <v>398599.89179755899</v>
      </c>
      <c r="T4">
        <v>41879.177931504797</v>
      </c>
      <c r="U4">
        <v>581539.17503728799</v>
      </c>
      <c r="V4">
        <v>141060.10530822299</v>
      </c>
      <c r="X4">
        <v>8660.0059999999994</v>
      </c>
      <c r="Y4">
        <v>55875.9415726312</v>
      </c>
    </row>
    <row r="5" spans="7:25" x14ac:dyDescent="0.25">
      <c r="G5">
        <v>8661.0059999999994</v>
      </c>
      <c r="H5">
        <v>0</v>
      </c>
      <c r="I5">
        <v>43.668499999999902</v>
      </c>
      <c r="J5">
        <v>80.069999999999894</v>
      </c>
      <c r="K5">
        <v>36.401499999999999</v>
      </c>
      <c r="M5">
        <v>8661.0059999999994</v>
      </c>
      <c r="N5">
        <v>6781.9619324311197</v>
      </c>
      <c r="O5">
        <v>43243.574760798001</v>
      </c>
      <c r="P5">
        <v>64865.362141197103</v>
      </c>
      <c r="R5">
        <v>8661.0059999999994</v>
      </c>
      <c r="S5">
        <v>398641.32979755901</v>
      </c>
      <c r="T5">
        <v>41884.012931504803</v>
      </c>
      <c r="U5">
        <v>581601.73503728805</v>
      </c>
      <c r="V5">
        <v>141076.392308223</v>
      </c>
      <c r="X5">
        <v>8661.0059999999994</v>
      </c>
      <c r="Y5">
        <v>55887.084572631204</v>
      </c>
    </row>
    <row r="6" spans="7:25" x14ac:dyDescent="0.25">
      <c r="G6">
        <v>8662.0059999999994</v>
      </c>
      <c r="H6">
        <v>0</v>
      </c>
      <c r="I6">
        <v>23.642499999999899</v>
      </c>
      <c r="J6">
        <v>65.279999999999902</v>
      </c>
      <c r="K6">
        <v>41.637500000000003</v>
      </c>
      <c r="M6">
        <v>8662.0059999999994</v>
      </c>
      <c r="N6">
        <v>6781.9619324311197</v>
      </c>
      <c r="O6">
        <v>43243.574760798001</v>
      </c>
      <c r="P6">
        <v>64865.362141197103</v>
      </c>
      <c r="R6">
        <v>8662.0059999999994</v>
      </c>
      <c r="S6">
        <v>398661.31279755902</v>
      </c>
      <c r="T6">
        <v>41888.848931504799</v>
      </c>
      <c r="U6">
        <v>581642.84003728803</v>
      </c>
      <c r="V6">
        <v>141092.67930822301</v>
      </c>
      <c r="X6">
        <v>8662.0059999999994</v>
      </c>
      <c r="Y6">
        <v>55892.648572631202</v>
      </c>
    </row>
    <row r="7" spans="7:25" x14ac:dyDescent="0.25">
      <c r="G7">
        <v>8663.0059999999994</v>
      </c>
      <c r="H7">
        <v>0</v>
      </c>
      <c r="I7">
        <v>9.8174999999999795</v>
      </c>
      <c r="J7">
        <v>55.959999999999901</v>
      </c>
      <c r="K7">
        <v>46.142499999999998</v>
      </c>
      <c r="M7">
        <v>8663.0059999999994</v>
      </c>
      <c r="N7">
        <v>6781.9619324311197</v>
      </c>
      <c r="O7">
        <v>43243.574760798001</v>
      </c>
      <c r="P7">
        <v>64865.362141197103</v>
      </c>
      <c r="R7">
        <v>8663.0059999999994</v>
      </c>
      <c r="S7">
        <v>398669.053797559</v>
      </c>
      <c r="T7">
        <v>41893.683931504798</v>
      </c>
      <c r="U7">
        <v>581671.70403728797</v>
      </c>
      <c r="V7">
        <v>141108.96530822301</v>
      </c>
      <c r="X7">
        <v>8663.0059999999994</v>
      </c>
      <c r="Y7">
        <v>55894.279572631203</v>
      </c>
    </row>
    <row r="8" spans="7:25" x14ac:dyDescent="0.25">
      <c r="G8">
        <v>8664.0059999999994</v>
      </c>
      <c r="H8">
        <v>0</v>
      </c>
      <c r="I8">
        <v>4.65949999999998</v>
      </c>
      <c r="J8">
        <v>50.299999999999898</v>
      </c>
      <c r="K8">
        <v>45.640500000000003</v>
      </c>
      <c r="M8">
        <v>8664.0059999999994</v>
      </c>
      <c r="N8">
        <v>6781.9619324311197</v>
      </c>
      <c r="O8">
        <v>43243.574760798001</v>
      </c>
      <c r="P8">
        <v>64865.362141197103</v>
      </c>
      <c r="R8">
        <v>8664.0059999999994</v>
      </c>
      <c r="S8">
        <v>398672.738797559</v>
      </c>
      <c r="T8">
        <v>41898.518931504797</v>
      </c>
      <c r="U8">
        <v>581696.51003728795</v>
      </c>
      <c r="V8">
        <v>141125.25230822299</v>
      </c>
      <c r="X8">
        <v>8664.0059999999994</v>
      </c>
      <c r="Y8">
        <v>55895.009572631199</v>
      </c>
    </row>
    <row r="9" spans="7:25" x14ac:dyDescent="0.25">
      <c r="G9">
        <v>8665.0059999999994</v>
      </c>
      <c r="H9">
        <v>0</v>
      </c>
      <c r="I9">
        <v>4.9999999998817603E-4</v>
      </c>
      <c r="J9">
        <v>36.999999999999901</v>
      </c>
      <c r="K9">
        <v>45.883499999999998</v>
      </c>
      <c r="M9">
        <v>8665.0059999999994</v>
      </c>
      <c r="N9">
        <v>6783.1089324311197</v>
      </c>
      <c r="O9">
        <v>43243.574760798001</v>
      </c>
      <c r="P9">
        <v>64865.362141197103</v>
      </c>
      <c r="R9">
        <v>8665.0059999999994</v>
      </c>
      <c r="S9">
        <v>398672.738797559</v>
      </c>
      <c r="T9">
        <v>41903.3549315048</v>
      </c>
      <c r="U9">
        <v>581717.63303728797</v>
      </c>
      <c r="V9">
        <v>141141.539308223</v>
      </c>
      <c r="X9">
        <v>8665.0059999999994</v>
      </c>
      <c r="Y9">
        <v>55893.7635726312</v>
      </c>
    </row>
    <row r="10" spans="7:25" x14ac:dyDescent="0.25">
      <c r="G10">
        <v>8666.0059999999994</v>
      </c>
      <c r="H10">
        <v>0</v>
      </c>
      <c r="I10">
        <v>4.9999999998817603E-4</v>
      </c>
      <c r="J10">
        <v>32.1099999999999</v>
      </c>
      <c r="K10">
        <v>48.904499999999999</v>
      </c>
      <c r="M10">
        <v>8666.0059999999994</v>
      </c>
      <c r="N10">
        <v>6784.9349324311197</v>
      </c>
      <c r="O10">
        <v>43243.574760798001</v>
      </c>
      <c r="P10">
        <v>64865.362141197103</v>
      </c>
      <c r="R10">
        <v>8666.0059999999994</v>
      </c>
      <c r="S10">
        <v>398672.738797559</v>
      </c>
      <c r="T10">
        <v>41908.189931504799</v>
      </c>
      <c r="U10">
        <v>581738.75503728795</v>
      </c>
      <c r="V10">
        <v>141157.82630822301</v>
      </c>
      <c r="X10">
        <v>8666.0059999999994</v>
      </c>
      <c r="Y10">
        <v>55891.807572631202</v>
      </c>
    </row>
    <row r="11" spans="7:25" x14ac:dyDescent="0.25">
      <c r="G11">
        <v>8667.0059999999994</v>
      </c>
      <c r="H11">
        <v>0</v>
      </c>
      <c r="I11">
        <v>4.9999999998817603E-4</v>
      </c>
      <c r="J11">
        <v>29.719999999999899</v>
      </c>
      <c r="K11">
        <v>54.5565</v>
      </c>
      <c r="M11">
        <v>8667.0059999999994</v>
      </c>
      <c r="N11">
        <v>6787.2659324311198</v>
      </c>
      <c r="O11">
        <v>43243.574760798001</v>
      </c>
      <c r="P11">
        <v>64865.362141197103</v>
      </c>
      <c r="R11">
        <v>8667.0059999999994</v>
      </c>
      <c r="S11">
        <v>398672.738797559</v>
      </c>
      <c r="T11">
        <v>41913.025931504802</v>
      </c>
      <c r="U11">
        <v>581759.87703728804</v>
      </c>
      <c r="V11">
        <v>141174.11330822299</v>
      </c>
      <c r="X11">
        <v>8667.0059999999994</v>
      </c>
      <c r="Y11">
        <v>55889.230572631197</v>
      </c>
    </row>
    <row r="12" spans="7:25" x14ac:dyDescent="0.25">
      <c r="G12">
        <v>8668.0059999999994</v>
      </c>
      <c r="H12">
        <v>0</v>
      </c>
      <c r="I12">
        <v>-4.9500000000008898E-2</v>
      </c>
      <c r="J12">
        <v>28.8799999999999</v>
      </c>
      <c r="K12">
        <v>57.436500000000002</v>
      </c>
      <c r="M12">
        <v>8668.0059999999994</v>
      </c>
      <c r="N12">
        <v>6788.73993243112</v>
      </c>
      <c r="O12">
        <v>43243.577760797998</v>
      </c>
      <c r="P12">
        <v>64865.366141197097</v>
      </c>
      <c r="R12">
        <v>8668.0059999999994</v>
      </c>
      <c r="S12">
        <v>398672.73579755903</v>
      </c>
      <c r="T12">
        <v>41917.860931504802</v>
      </c>
      <c r="U12">
        <v>581780.99703728803</v>
      </c>
      <c r="V12">
        <v>141190.400308223</v>
      </c>
      <c r="X12">
        <v>8668.0059999999994</v>
      </c>
      <c r="Y12">
        <v>55886.2465726312</v>
      </c>
    </row>
    <row r="13" spans="7:25" x14ac:dyDescent="0.25">
      <c r="G13">
        <v>8669.0059999999994</v>
      </c>
      <c r="H13">
        <v>0</v>
      </c>
      <c r="I13">
        <v>4.9999999998817603E-4</v>
      </c>
      <c r="J13">
        <v>29.119999999999902</v>
      </c>
      <c r="K13">
        <v>58.076500000000003</v>
      </c>
      <c r="M13">
        <v>8669.0059999999994</v>
      </c>
      <c r="N13">
        <v>6788.7879324311198</v>
      </c>
      <c r="O13">
        <v>43243.577760797998</v>
      </c>
      <c r="P13">
        <v>64865.366141197097</v>
      </c>
      <c r="R13">
        <v>8669.0059999999994</v>
      </c>
      <c r="S13">
        <v>398672.73579755903</v>
      </c>
      <c r="T13">
        <v>41922.695931504801</v>
      </c>
      <c r="U13">
        <v>581802.11903728801</v>
      </c>
      <c r="V13">
        <v>141206.686308223</v>
      </c>
      <c r="X13">
        <v>8669.0059999999994</v>
      </c>
      <c r="Y13">
        <v>55883.281572631196</v>
      </c>
    </row>
    <row r="14" spans="7:25" x14ac:dyDescent="0.25">
      <c r="G14">
        <v>8670.0059999999994</v>
      </c>
      <c r="H14">
        <v>0</v>
      </c>
      <c r="I14">
        <v>4.9999999998817603E-4</v>
      </c>
      <c r="J14">
        <v>34.259999999999899</v>
      </c>
      <c r="K14">
        <v>58.148499999999999</v>
      </c>
      <c r="M14">
        <v>8670.0059999999994</v>
      </c>
      <c r="N14">
        <v>6788.8019324311199</v>
      </c>
      <c r="O14">
        <v>43243.577760797998</v>
      </c>
      <c r="P14">
        <v>64865.366141197097</v>
      </c>
      <c r="R14">
        <v>8670.0059999999994</v>
      </c>
      <c r="S14">
        <v>398672.73579755903</v>
      </c>
      <c r="T14">
        <v>41927.531931504796</v>
      </c>
      <c r="U14">
        <v>581823.24103728798</v>
      </c>
      <c r="V14">
        <v>141222.97330822301</v>
      </c>
      <c r="X14">
        <v>8670.0059999999994</v>
      </c>
      <c r="Y14">
        <v>55880.732572631197</v>
      </c>
    </row>
    <row r="15" spans="7:25" x14ac:dyDescent="0.25">
      <c r="G15">
        <v>8671.0059999999994</v>
      </c>
      <c r="H15">
        <v>0</v>
      </c>
      <c r="I15">
        <v>4.9999999998817603E-4</v>
      </c>
      <c r="J15">
        <v>41.499999999999901</v>
      </c>
      <c r="K15">
        <v>57.941499999999998</v>
      </c>
      <c r="M15">
        <v>8671.0059999999994</v>
      </c>
      <c r="N15">
        <v>6788.8289324311199</v>
      </c>
      <c r="O15">
        <v>43243.577760797998</v>
      </c>
      <c r="P15">
        <v>64865.366141197097</v>
      </c>
      <c r="R15">
        <v>8671.0059999999994</v>
      </c>
      <c r="S15">
        <v>398672.73579755903</v>
      </c>
      <c r="T15">
        <v>41932.366931504803</v>
      </c>
      <c r="U15">
        <v>581844.36303728796</v>
      </c>
      <c r="V15">
        <v>141239.26030822299</v>
      </c>
      <c r="X15">
        <v>8671.0059999999994</v>
      </c>
      <c r="Y15">
        <v>55878.921572631203</v>
      </c>
    </row>
    <row r="16" spans="7:25" x14ac:dyDescent="0.25">
      <c r="G16">
        <v>8672.0059999999994</v>
      </c>
      <c r="H16">
        <v>0</v>
      </c>
      <c r="I16">
        <v>4.7499999999992298E-2</v>
      </c>
      <c r="J16">
        <v>54.839999999999897</v>
      </c>
      <c r="K16">
        <v>54.792499999999997</v>
      </c>
      <c r="M16">
        <v>8672.0059999999994</v>
      </c>
      <c r="N16">
        <v>6788.8289324311199</v>
      </c>
      <c r="O16">
        <v>43243.577760797998</v>
      </c>
      <c r="P16">
        <v>64865.366141197097</v>
      </c>
      <c r="R16">
        <v>8672.0059999999994</v>
      </c>
      <c r="S16">
        <v>398672.770797559</v>
      </c>
      <c r="T16">
        <v>41937.201931504802</v>
      </c>
      <c r="U16">
        <v>581865.52003728796</v>
      </c>
      <c r="V16">
        <v>141255.547308223</v>
      </c>
      <c r="X16">
        <v>8672.0059999999994</v>
      </c>
      <c r="Y16">
        <v>55878.929572631198</v>
      </c>
    </row>
    <row r="17" spans="7:25" x14ac:dyDescent="0.25">
      <c r="G17">
        <v>8673.0059999999994</v>
      </c>
      <c r="H17">
        <v>0.26</v>
      </c>
      <c r="I17">
        <v>14.4184999999999</v>
      </c>
      <c r="J17">
        <v>68.349999999999895</v>
      </c>
      <c r="K17">
        <v>53.671500000000002</v>
      </c>
      <c r="M17">
        <v>8673.0059999999994</v>
      </c>
      <c r="N17">
        <v>6788.8289324311199</v>
      </c>
      <c r="O17">
        <v>43243.577760797998</v>
      </c>
      <c r="P17">
        <v>64865.366141197097</v>
      </c>
      <c r="R17">
        <v>8673.0059999999994</v>
      </c>
      <c r="S17">
        <v>398683.558797559</v>
      </c>
      <c r="T17">
        <v>41942.037931504798</v>
      </c>
      <c r="U17">
        <v>581897.43103728804</v>
      </c>
      <c r="V17">
        <v>141271.83430822301</v>
      </c>
      <c r="X17">
        <v>8673.0059999999994</v>
      </c>
      <c r="Y17">
        <v>55881.307572631202</v>
      </c>
    </row>
    <row r="18" spans="7:25" x14ac:dyDescent="0.25">
      <c r="G18">
        <v>8674.0059999999994</v>
      </c>
      <c r="H18">
        <v>2.8450000000000002</v>
      </c>
      <c r="I18">
        <v>21.005499999999898</v>
      </c>
      <c r="J18">
        <v>78.469999999999899</v>
      </c>
      <c r="K18">
        <v>54.5565</v>
      </c>
      <c r="M18">
        <v>8674.0059999999994</v>
      </c>
      <c r="N18">
        <v>6788.8289324311199</v>
      </c>
      <c r="O18">
        <v>43243.592760797997</v>
      </c>
      <c r="P18">
        <v>64865.389141197098</v>
      </c>
      <c r="R18">
        <v>8674.0059999999994</v>
      </c>
      <c r="S18">
        <v>398699.03979755897</v>
      </c>
      <c r="T18">
        <v>41946.872931504797</v>
      </c>
      <c r="U18">
        <v>581934.033037288</v>
      </c>
      <c r="V18">
        <v>141288.12030822301</v>
      </c>
      <c r="X18">
        <v>8674.0059999999994</v>
      </c>
      <c r="Y18">
        <v>55885.004572631202</v>
      </c>
    </row>
    <row r="19" spans="7:25" x14ac:dyDescent="0.25">
      <c r="G19">
        <v>8675.0059999999994</v>
      </c>
      <c r="H19">
        <v>6.6539999999999999</v>
      </c>
      <c r="I19">
        <v>15.571499999999901</v>
      </c>
      <c r="J19">
        <v>78.829999999999899</v>
      </c>
      <c r="K19">
        <v>56.099499999999999</v>
      </c>
      <c r="M19">
        <v>8675.0059999999994</v>
      </c>
      <c r="N19">
        <v>6788.8289324311199</v>
      </c>
      <c r="O19">
        <v>43243.737760798002</v>
      </c>
      <c r="P19">
        <v>64865.606141197102</v>
      </c>
      <c r="R19">
        <v>8675.0059999999994</v>
      </c>
      <c r="S19">
        <v>398712.15279755899</v>
      </c>
      <c r="T19">
        <v>41951.7089315048</v>
      </c>
      <c r="U19">
        <v>581968.26903728803</v>
      </c>
      <c r="V19">
        <v>141304.40730822299</v>
      </c>
      <c r="X19">
        <v>8675.0059999999994</v>
      </c>
      <c r="Y19">
        <v>55887.935572631199</v>
      </c>
    </row>
    <row r="20" spans="7:25" x14ac:dyDescent="0.25">
      <c r="G20">
        <v>8676.0059999999994</v>
      </c>
      <c r="H20">
        <v>8.0540000000000003</v>
      </c>
      <c r="I20">
        <v>6.5714999999999799</v>
      </c>
      <c r="J20">
        <v>72.899999999999906</v>
      </c>
      <c r="K20">
        <v>57.765500000000003</v>
      </c>
      <c r="M20">
        <v>8676.0059999999994</v>
      </c>
      <c r="N20">
        <v>6788.8289324311199</v>
      </c>
      <c r="O20">
        <v>43243.929760797997</v>
      </c>
      <c r="P20">
        <v>64865.895141197099</v>
      </c>
      <c r="R20">
        <v>8676.0059999999994</v>
      </c>
      <c r="S20">
        <v>398718.03079755901</v>
      </c>
      <c r="T20">
        <v>41956.543931504799</v>
      </c>
      <c r="U20">
        <v>581995.26903728803</v>
      </c>
      <c r="V20">
        <v>141320.694308223</v>
      </c>
      <c r="X20">
        <v>8676.0059999999994</v>
      </c>
      <c r="Y20">
        <v>55889.290572631202</v>
      </c>
    </row>
    <row r="21" spans="7:25" x14ac:dyDescent="0.25">
      <c r="G21">
        <v>8677.0059999999994</v>
      </c>
      <c r="H21">
        <v>8.109</v>
      </c>
      <c r="I21">
        <v>7.4984999999999902</v>
      </c>
      <c r="J21">
        <v>74.449999999999903</v>
      </c>
      <c r="K21">
        <v>56.141500000000001</v>
      </c>
      <c r="M21">
        <v>8677.0059999999994</v>
      </c>
      <c r="N21">
        <v>6788.8289324311199</v>
      </c>
      <c r="O21">
        <v>43244.439760797999</v>
      </c>
      <c r="P21">
        <v>64866.659141197102</v>
      </c>
      <c r="R21">
        <v>8677.0059999999994</v>
      </c>
      <c r="S21">
        <v>398725.76379755902</v>
      </c>
      <c r="T21">
        <v>41961.378931504798</v>
      </c>
      <c r="U21">
        <v>582024.12403728801</v>
      </c>
      <c r="V21">
        <v>141336.98130822301</v>
      </c>
      <c r="X21">
        <v>8677.0059999999994</v>
      </c>
      <c r="Y21">
        <v>55890.767572631201</v>
      </c>
    </row>
    <row r="22" spans="7:25" x14ac:dyDescent="0.25">
      <c r="G22">
        <v>8678.0059999999994</v>
      </c>
      <c r="H22">
        <v>5.5419999999999998</v>
      </c>
      <c r="I22">
        <v>8.4474999999999891</v>
      </c>
      <c r="J22">
        <v>69.849999999999895</v>
      </c>
      <c r="K22">
        <v>55.122500000000002</v>
      </c>
      <c r="M22">
        <v>8678.0059999999994</v>
      </c>
      <c r="N22">
        <v>6788.8289324311199</v>
      </c>
      <c r="O22">
        <v>43244.598760797999</v>
      </c>
      <c r="P22">
        <v>64866.8971411971</v>
      </c>
      <c r="R22">
        <v>8678.0059999999994</v>
      </c>
      <c r="S22">
        <v>398733.46279755898</v>
      </c>
      <c r="T22">
        <v>41966.214931504801</v>
      </c>
      <c r="U22">
        <v>582052.94603728806</v>
      </c>
      <c r="V22">
        <v>141353.26830822299</v>
      </c>
      <c r="X22">
        <v>8678.0059999999994</v>
      </c>
      <c r="Y22">
        <v>55892.3505726312</v>
      </c>
    </row>
    <row r="23" spans="7:25" x14ac:dyDescent="0.25">
      <c r="G23">
        <v>8679.0059999999994</v>
      </c>
      <c r="H23">
        <v>1.256</v>
      </c>
      <c r="I23">
        <v>21.542499999999901</v>
      </c>
      <c r="J23">
        <v>77.559999999999903</v>
      </c>
      <c r="K23">
        <v>54.761499999999998</v>
      </c>
      <c r="M23">
        <v>8679.0059999999994</v>
      </c>
      <c r="N23">
        <v>6788.8289324311199</v>
      </c>
      <c r="O23">
        <v>43244.598760797999</v>
      </c>
      <c r="P23">
        <v>64866.8971411971</v>
      </c>
      <c r="R23">
        <v>8679.0059999999994</v>
      </c>
      <c r="S23">
        <v>398753.27779755899</v>
      </c>
      <c r="T23">
        <v>41971.0499315048</v>
      </c>
      <c r="U23">
        <v>582093.88303728797</v>
      </c>
      <c r="V23">
        <v>141369.55430822301</v>
      </c>
      <c r="X23">
        <v>8679.0059999999994</v>
      </c>
      <c r="Y23">
        <v>55895.917572631202</v>
      </c>
    </row>
    <row r="24" spans="7:25" x14ac:dyDescent="0.25">
      <c r="G24">
        <v>8680.0059999999994</v>
      </c>
      <c r="H24">
        <v>7.0000000000000001E-3</v>
      </c>
      <c r="I24">
        <v>32.151499999999899</v>
      </c>
      <c r="J24">
        <v>87.349999999999895</v>
      </c>
      <c r="K24">
        <v>55.191499999999998</v>
      </c>
      <c r="M24">
        <v>8680.0059999999994</v>
      </c>
      <c r="N24">
        <v>6788.8289324311199</v>
      </c>
      <c r="O24">
        <v>43244.598760797999</v>
      </c>
      <c r="P24">
        <v>64866.8971411971</v>
      </c>
      <c r="R24">
        <v>8680.0059999999994</v>
      </c>
      <c r="S24">
        <v>398789.73479755898</v>
      </c>
      <c r="T24">
        <v>41975.884931504799</v>
      </c>
      <c r="U24">
        <v>582151.462037288</v>
      </c>
      <c r="V24">
        <v>141385.841308223</v>
      </c>
      <c r="X24">
        <v>8680.0059999999994</v>
      </c>
      <c r="Y24">
        <v>55901.164572631198</v>
      </c>
    </row>
    <row r="25" spans="7:25" x14ac:dyDescent="0.25">
      <c r="G25">
        <v>8681.0059999999994</v>
      </c>
      <c r="H25">
        <v>0</v>
      </c>
      <c r="I25">
        <v>55.354499999999902</v>
      </c>
      <c r="J25">
        <v>110.05999999999899</v>
      </c>
      <c r="K25">
        <v>54.705500000000001</v>
      </c>
      <c r="M25">
        <v>8681.0059999999994</v>
      </c>
      <c r="N25">
        <v>6788.8289324311199</v>
      </c>
      <c r="O25">
        <v>43244.598760797999</v>
      </c>
      <c r="P25">
        <v>64866.8971411971</v>
      </c>
      <c r="R25">
        <v>8681.0059999999994</v>
      </c>
      <c r="S25">
        <v>398853.82379755902</v>
      </c>
      <c r="T25">
        <v>41980.720931504802</v>
      </c>
      <c r="U25">
        <v>582236.67303728801</v>
      </c>
      <c r="V25">
        <v>141402.12830822301</v>
      </c>
      <c r="X25">
        <v>8681.0059999999994</v>
      </c>
      <c r="Y25">
        <v>55911.113572631199</v>
      </c>
    </row>
    <row r="26" spans="7:25" x14ac:dyDescent="0.25">
      <c r="G26">
        <v>8682.0059999999994</v>
      </c>
      <c r="H26">
        <v>0</v>
      </c>
      <c r="I26">
        <v>61.984499999999898</v>
      </c>
      <c r="J26">
        <v>114.83999999999899</v>
      </c>
      <c r="K26">
        <v>52.855499999999999</v>
      </c>
      <c r="M26">
        <v>8682.0059999999994</v>
      </c>
      <c r="N26">
        <v>6788.8289324311199</v>
      </c>
      <c r="O26">
        <v>43244.598760797999</v>
      </c>
      <c r="P26">
        <v>64866.8971411971</v>
      </c>
      <c r="R26">
        <v>8682.0059999999994</v>
      </c>
      <c r="S26">
        <v>398927.43779755902</v>
      </c>
      <c r="T26">
        <v>41985.555931504801</v>
      </c>
      <c r="U26">
        <v>582331.41003728798</v>
      </c>
      <c r="V26">
        <v>141418.41530822299</v>
      </c>
      <c r="X26">
        <v>8682.0059999999994</v>
      </c>
      <c r="Y26">
        <v>55920.988572631199</v>
      </c>
    </row>
    <row r="27" spans="7:25" x14ac:dyDescent="0.25">
      <c r="G27">
        <v>8683.0059999999994</v>
      </c>
      <c r="H27">
        <v>0</v>
      </c>
      <c r="I27">
        <v>48.247499999999903</v>
      </c>
      <c r="J27">
        <v>99.809999999999903</v>
      </c>
      <c r="K27">
        <v>51.5625</v>
      </c>
      <c r="M27">
        <v>8683.0059999999994</v>
      </c>
      <c r="N27">
        <v>6788.8289324311199</v>
      </c>
      <c r="O27">
        <v>43244.598760797999</v>
      </c>
      <c r="P27">
        <v>64866.8971411971</v>
      </c>
      <c r="R27">
        <v>8683.0059999999994</v>
      </c>
      <c r="S27">
        <v>398984.16179755901</v>
      </c>
      <c r="T27">
        <v>41990.391931504797</v>
      </c>
      <c r="U27">
        <v>582409.256037288</v>
      </c>
      <c r="V27">
        <v>141434.702308223</v>
      </c>
      <c r="X27">
        <v>8683.0059999999994</v>
      </c>
      <c r="Y27">
        <v>55928.492572631199</v>
      </c>
    </row>
    <row r="28" spans="7:25" x14ac:dyDescent="0.25">
      <c r="G28">
        <v>8684.0059999999994</v>
      </c>
      <c r="H28">
        <v>0</v>
      </c>
      <c r="I28">
        <v>35.890499999999903</v>
      </c>
      <c r="J28">
        <v>85.519999999999897</v>
      </c>
      <c r="K28">
        <v>49.6295</v>
      </c>
      <c r="M28">
        <v>8684.0059999999994</v>
      </c>
      <c r="N28">
        <v>6788.8289324311199</v>
      </c>
      <c r="O28">
        <v>43244.598760797999</v>
      </c>
      <c r="P28">
        <v>64866.8971411971</v>
      </c>
      <c r="R28">
        <v>8684.0059999999994</v>
      </c>
      <c r="S28">
        <v>399025.09979755903</v>
      </c>
      <c r="T28">
        <v>41995.226931504803</v>
      </c>
      <c r="U28">
        <v>582471.31603728805</v>
      </c>
      <c r="V28">
        <v>141450.98930822301</v>
      </c>
      <c r="X28">
        <v>8684.0059999999994</v>
      </c>
      <c r="Y28">
        <v>55934.942572631197</v>
      </c>
    </row>
    <row r="29" spans="7:25" x14ac:dyDescent="0.25">
      <c r="G29">
        <v>8685.0059999999994</v>
      </c>
      <c r="H29">
        <v>0</v>
      </c>
      <c r="I29">
        <v>27.497499999999899</v>
      </c>
      <c r="J29">
        <v>75.589999999999904</v>
      </c>
      <c r="K29">
        <v>48.092500000000001</v>
      </c>
      <c r="M29">
        <v>8685.0059999999994</v>
      </c>
      <c r="N29">
        <v>6788.8289324311199</v>
      </c>
      <c r="O29">
        <v>43244.598760797999</v>
      </c>
      <c r="P29">
        <v>64866.8971411971</v>
      </c>
      <c r="R29">
        <v>8685.0059999999994</v>
      </c>
      <c r="S29">
        <v>399054.803797559</v>
      </c>
      <c r="T29">
        <v>42000.061931504802</v>
      </c>
      <c r="U29">
        <v>582522.14203728805</v>
      </c>
      <c r="V29">
        <v>141467.275308223</v>
      </c>
      <c r="X29">
        <v>8685.0059999999994</v>
      </c>
      <c r="Y29">
        <v>55939.914572631198</v>
      </c>
    </row>
    <row r="30" spans="7:25" x14ac:dyDescent="0.25">
      <c r="G30">
        <v>8686.0059999999994</v>
      </c>
      <c r="H30">
        <v>0</v>
      </c>
      <c r="I30">
        <v>17.4104999999999</v>
      </c>
      <c r="J30">
        <v>64.029999999999902</v>
      </c>
      <c r="K30">
        <v>46.619500000000002</v>
      </c>
      <c r="M30">
        <v>8686.0059999999994</v>
      </c>
      <c r="N30">
        <v>6788.8289324311199</v>
      </c>
      <c r="O30">
        <v>43244.598760797999</v>
      </c>
      <c r="P30">
        <v>64866.8971411971</v>
      </c>
      <c r="R30">
        <v>8686.0059999999994</v>
      </c>
      <c r="S30">
        <v>399072.98779755901</v>
      </c>
      <c r="T30">
        <v>42004.897931504798</v>
      </c>
      <c r="U30">
        <v>582561.44703728799</v>
      </c>
      <c r="V30">
        <v>141483.56230822299</v>
      </c>
      <c r="X30">
        <v>8686.0059999999994</v>
      </c>
      <c r="Y30">
        <v>55943.052572631197</v>
      </c>
    </row>
    <row r="31" spans="7:25" x14ac:dyDescent="0.25">
      <c r="G31">
        <v>8687.0059999999994</v>
      </c>
      <c r="H31">
        <v>0</v>
      </c>
      <c r="I31">
        <v>13.228499999999899</v>
      </c>
      <c r="J31">
        <v>51.1799999999999</v>
      </c>
      <c r="K31">
        <v>37.8125</v>
      </c>
      <c r="M31">
        <v>8687.0059999999994</v>
      </c>
      <c r="N31">
        <v>6788.8289324311199</v>
      </c>
      <c r="O31">
        <v>43244.626760797997</v>
      </c>
      <c r="P31">
        <v>64866.940141197098</v>
      </c>
      <c r="R31">
        <v>8687.0059999999994</v>
      </c>
      <c r="S31">
        <v>399086.72979755898</v>
      </c>
      <c r="T31">
        <v>42009.732931504797</v>
      </c>
      <c r="U31">
        <v>582596.31203728798</v>
      </c>
      <c r="V31">
        <v>141499.849308223</v>
      </c>
      <c r="X31">
        <v>8687.0059999999994</v>
      </c>
      <c r="Y31">
        <v>55946.198572631198</v>
      </c>
    </row>
    <row r="32" spans="7:25" x14ac:dyDescent="0.25">
      <c r="G32">
        <v>8688.0059999999994</v>
      </c>
      <c r="H32">
        <v>0</v>
      </c>
      <c r="I32">
        <v>13.4894999999999</v>
      </c>
      <c r="J32">
        <v>42.139999999999901</v>
      </c>
      <c r="K32">
        <v>28.650500000000001</v>
      </c>
      <c r="M32">
        <v>8688.0059999999994</v>
      </c>
      <c r="N32">
        <v>6788.8289324311199</v>
      </c>
      <c r="O32">
        <v>43244.626760797997</v>
      </c>
      <c r="P32">
        <v>64866.940141197098</v>
      </c>
      <c r="R32">
        <v>8688.0059999999994</v>
      </c>
      <c r="S32">
        <v>399102.24779755902</v>
      </c>
      <c r="T32">
        <v>42014.567931504796</v>
      </c>
      <c r="U32">
        <v>582632.95203728799</v>
      </c>
      <c r="V32">
        <v>141516.13630822301</v>
      </c>
      <c r="X32">
        <v>8688.0059999999994</v>
      </c>
      <c r="Y32">
        <v>55950.416572631199</v>
      </c>
    </row>
    <row r="33" spans="7:25" x14ac:dyDescent="0.25">
      <c r="G33">
        <v>8689.0059999999994</v>
      </c>
      <c r="H33">
        <v>0</v>
      </c>
      <c r="I33">
        <v>13.8204999999999</v>
      </c>
      <c r="J33">
        <v>36.769999999999897</v>
      </c>
      <c r="K33">
        <v>22.9495</v>
      </c>
      <c r="M33">
        <v>8689.0059999999994</v>
      </c>
      <c r="N33">
        <v>6788.8289324311199</v>
      </c>
      <c r="O33">
        <v>43244.626760797997</v>
      </c>
      <c r="P33">
        <v>64866.940141197098</v>
      </c>
      <c r="R33">
        <v>8689.0059999999994</v>
      </c>
      <c r="S33">
        <v>399118.13679755898</v>
      </c>
      <c r="T33">
        <v>42019.403931504799</v>
      </c>
      <c r="U33">
        <v>582669.96303728805</v>
      </c>
      <c r="V33">
        <v>141532.42330822299</v>
      </c>
      <c r="X33">
        <v>8689.0059999999994</v>
      </c>
      <c r="Y33">
        <v>55954.9075726312</v>
      </c>
    </row>
    <row r="34" spans="7:25" x14ac:dyDescent="0.25">
      <c r="G34">
        <v>8690.0059999999994</v>
      </c>
      <c r="H34">
        <v>0</v>
      </c>
      <c r="I34">
        <v>15.2614999999999</v>
      </c>
      <c r="J34">
        <v>33.149999999999899</v>
      </c>
      <c r="K34">
        <v>17.888500000000001</v>
      </c>
      <c r="M34">
        <v>8690.0059999999994</v>
      </c>
      <c r="N34">
        <v>6788.8289324311199</v>
      </c>
      <c r="O34">
        <v>43244.626760797997</v>
      </c>
      <c r="P34">
        <v>64866.940141197098</v>
      </c>
      <c r="R34">
        <v>8690.0059999999994</v>
      </c>
      <c r="S34">
        <v>399135.77179755899</v>
      </c>
      <c r="T34">
        <v>42024.238931504799</v>
      </c>
      <c r="U34">
        <v>582708.72003728803</v>
      </c>
      <c r="V34">
        <v>141548.70930822301</v>
      </c>
      <c r="X34">
        <v>8690.0059999999994</v>
      </c>
      <c r="Y34">
        <v>55959.963572631197</v>
      </c>
    </row>
    <row r="35" spans="7:25" x14ac:dyDescent="0.25">
      <c r="G35">
        <v>8691.0059999999994</v>
      </c>
      <c r="H35">
        <v>0</v>
      </c>
      <c r="I35">
        <v>17.8324999999999</v>
      </c>
      <c r="J35">
        <v>31.799999999999901</v>
      </c>
      <c r="K35">
        <v>13.967499999999999</v>
      </c>
      <c r="M35">
        <v>8691.0059999999994</v>
      </c>
      <c r="N35">
        <v>6788.8289324311199</v>
      </c>
      <c r="O35">
        <v>43244.626760797997</v>
      </c>
      <c r="P35">
        <v>64866.940141197098</v>
      </c>
      <c r="R35">
        <v>8691.0059999999994</v>
      </c>
      <c r="S35">
        <v>399156.56379755901</v>
      </c>
      <c r="T35">
        <v>42029.074931504801</v>
      </c>
      <c r="U35">
        <v>582750.63503728795</v>
      </c>
      <c r="V35">
        <v>141564.996308223</v>
      </c>
      <c r="X35">
        <v>8691.0059999999994</v>
      </c>
      <c r="Y35">
        <v>55966.777572631203</v>
      </c>
    </row>
    <row r="36" spans="7:25" x14ac:dyDescent="0.25">
      <c r="G36">
        <v>8692.0059999999994</v>
      </c>
      <c r="H36">
        <v>0</v>
      </c>
      <c r="I36">
        <v>18.197499999999899</v>
      </c>
      <c r="J36">
        <v>29.939999999999898</v>
      </c>
      <c r="K36">
        <v>11.7425</v>
      </c>
      <c r="M36">
        <v>8692.0059999999994</v>
      </c>
      <c r="N36">
        <v>6788.8289324311199</v>
      </c>
      <c r="O36">
        <v>43244.626760797997</v>
      </c>
      <c r="P36">
        <v>64866.940141197098</v>
      </c>
      <c r="R36">
        <v>8692.0059999999994</v>
      </c>
      <c r="S36">
        <v>399179.05779755901</v>
      </c>
      <c r="T36">
        <v>42033.909931504801</v>
      </c>
      <c r="U36">
        <v>582794.25103728799</v>
      </c>
      <c r="V36">
        <v>141581.28330822301</v>
      </c>
      <c r="X36">
        <v>8692.0059999999994</v>
      </c>
      <c r="Y36">
        <v>55974.694572631197</v>
      </c>
    </row>
    <row r="37" spans="7:25" x14ac:dyDescent="0.25">
      <c r="G37">
        <v>8693.0059999999994</v>
      </c>
      <c r="H37">
        <v>0</v>
      </c>
      <c r="I37">
        <v>22.796499999999899</v>
      </c>
      <c r="J37">
        <v>31.8599999999999</v>
      </c>
      <c r="K37">
        <v>9.0634999999999994</v>
      </c>
      <c r="M37">
        <v>8693.0059999999994</v>
      </c>
      <c r="N37">
        <v>6788.8289324311199</v>
      </c>
      <c r="O37">
        <v>43244.626760797997</v>
      </c>
      <c r="P37">
        <v>64866.940141197098</v>
      </c>
      <c r="R37">
        <v>8693.0059999999994</v>
      </c>
      <c r="S37">
        <v>399209.15879755898</v>
      </c>
      <c r="T37">
        <v>42038.7449315048</v>
      </c>
      <c r="U37">
        <v>582845.47403728799</v>
      </c>
      <c r="V37">
        <v>141597.57030822299</v>
      </c>
      <c r="X37">
        <v>8693.0059999999994</v>
      </c>
      <c r="Y37">
        <v>55985.071572631197</v>
      </c>
    </row>
    <row r="38" spans="7:25" x14ac:dyDescent="0.25">
      <c r="G38">
        <v>8694.0059999999994</v>
      </c>
      <c r="H38">
        <v>0</v>
      </c>
      <c r="I38">
        <v>34.586499999999901</v>
      </c>
      <c r="J38">
        <v>41.879999999999903</v>
      </c>
      <c r="K38">
        <v>7.2934999999999999</v>
      </c>
      <c r="M38">
        <v>8694.0059999999994</v>
      </c>
      <c r="N38">
        <v>6788.8289324311199</v>
      </c>
      <c r="O38">
        <v>43244.626760797997</v>
      </c>
      <c r="P38">
        <v>64866.940141197098</v>
      </c>
      <c r="R38">
        <v>8694.0059999999994</v>
      </c>
      <c r="S38">
        <v>399256.34979755903</v>
      </c>
      <c r="T38">
        <v>42043.580931504803</v>
      </c>
      <c r="U38">
        <v>582913.78703728796</v>
      </c>
      <c r="V38">
        <v>141613.857308223</v>
      </c>
      <c r="X38">
        <v>8694.0059999999994</v>
      </c>
      <c r="Y38">
        <v>56002.815572631203</v>
      </c>
    </row>
    <row r="39" spans="7:25" x14ac:dyDescent="0.25">
      <c r="G39">
        <v>8695.0059999999994</v>
      </c>
      <c r="H39">
        <v>0</v>
      </c>
      <c r="I39">
        <v>41.959499999999899</v>
      </c>
      <c r="J39">
        <v>48.639999999999901</v>
      </c>
      <c r="K39">
        <v>6.6805000000000003</v>
      </c>
      <c r="M39">
        <v>8695.0059999999994</v>
      </c>
      <c r="N39">
        <v>6788.8289324311199</v>
      </c>
      <c r="O39">
        <v>43244.626760797997</v>
      </c>
      <c r="P39">
        <v>64866.940141197098</v>
      </c>
      <c r="R39">
        <v>8695.0059999999994</v>
      </c>
      <c r="S39">
        <v>399318.60879755899</v>
      </c>
      <c r="T39">
        <v>42048.415931504802</v>
      </c>
      <c r="U39">
        <v>582997.16903728805</v>
      </c>
      <c r="V39">
        <v>141630.14430822301</v>
      </c>
      <c r="X39">
        <v>8695.0059999999994</v>
      </c>
      <c r="Y39">
        <v>56027.834572631204</v>
      </c>
    </row>
    <row r="40" spans="7:25" x14ac:dyDescent="0.25">
      <c r="G40">
        <v>8696.0059999999994</v>
      </c>
      <c r="H40">
        <v>7.8E-2</v>
      </c>
      <c r="I40">
        <v>46.347499999999897</v>
      </c>
      <c r="J40">
        <v>53.209999999999901</v>
      </c>
      <c r="K40">
        <v>6.7845000000000004</v>
      </c>
      <c r="M40">
        <v>8696.0059999999994</v>
      </c>
      <c r="N40">
        <v>6788.8289324311199</v>
      </c>
      <c r="O40">
        <v>43244.626760797997</v>
      </c>
      <c r="P40">
        <v>64866.940141197098</v>
      </c>
      <c r="R40">
        <v>8696.0059999999994</v>
      </c>
      <c r="S40">
        <v>399391.52779755899</v>
      </c>
      <c r="T40">
        <v>42053.250931504801</v>
      </c>
      <c r="U40">
        <v>583091.21003728802</v>
      </c>
      <c r="V40">
        <v>141646.430308223</v>
      </c>
      <c r="X40">
        <v>8696.0059999999994</v>
      </c>
      <c r="Y40">
        <v>56056.906572631196</v>
      </c>
    </row>
    <row r="41" spans="7:25" x14ac:dyDescent="0.25">
      <c r="G41">
        <v>8697.0059999999994</v>
      </c>
      <c r="H41">
        <v>3.9350000000000001</v>
      </c>
      <c r="I41">
        <v>52.7364999999999</v>
      </c>
      <c r="J41">
        <v>63.499999999999901</v>
      </c>
      <c r="K41">
        <v>6.8055000000000003</v>
      </c>
      <c r="M41">
        <v>8697.0059999999994</v>
      </c>
      <c r="N41">
        <v>6788.8289324311199</v>
      </c>
      <c r="O41">
        <v>43244.691760797999</v>
      </c>
      <c r="P41">
        <v>64867.037141197099</v>
      </c>
      <c r="R41">
        <v>8697.0059999999994</v>
      </c>
      <c r="S41">
        <v>399485.81079755898</v>
      </c>
      <c r="T41">
        <v>42058.086931504797</v>
      </c>
      <c r="U41">
        <v>583206.61503728805</v>
      </c>
      <c r="V41">
        <v>141662.71730822299</v>
      </c>
      <c r="X41">
        <v>8697.0059999999994</v>
      </c>
      <c r="Y41">
        <v>56091.639572631197</v>
      </c>
    </row>
    <row r="42" spans="7:25" x14ac:dyDescent="0.25">
      <c r="G42">
        <v>8698.0059999999994</v>
      </c>
      <c r="H42">
        <v>14.93</v>
      </c>
      <c r="I42">
        <v>47.412499999999902</v>
      </c>
      <c r="J42">
        <v>68.569999999999894</v>
      </c>
      <c r="K42">
        <v>5.6734999999999998</v>
      </c>
      <c r="M42">
        <v>8698.0059999999994</v>
      </c>
      <c r="N42">
        <v>6788.8289324311199</v>
      </c>
      <c r="O42">
        <v>43246.788760798001</v>
      </c>
      <c r="P42">
        <v>64870.1831411971</v>
      </c>
      <c r="R42">
        <v>8698.0059999999994</v>
      </c>
      <c r="S42">
        <v>399579.82979755901</v>
      </c>
      <c r="T42">
        <v>42062.921931504803</v>
      </c>
      <c r="U42">
        <v>583321.756037288</v>
      </c>
      <c r="V42">
        <v>141679.004308223</v>
      </c>
      <c r="X42">
        <v>8698.0059999999994</v>
      </c>
      <c r="Y42">
        <v>56122.075572631198</v>
      </c>
    </row>
    <row r="43" spans="7:25" x14ac:dyDescent="0.25">
      <c r="G43">
        <v>8699.0059999999994</v>
      </c>
      <c r="H43">
        <v>21.780999999999999</v>
      </c>
      <c r="I43">
        <v>43.1694999999999</v>
      </c>
      <c r="J43">
        <v>71.169999999999902</v>
      </c>
      <c r="K43">
        <v>5.6855000000000002</v>
      </c>
      <c r="M43">
        <v>8699.0059999999994</v>
      </c>
      <c r="N43">
        <v>6788.8289324311199</v>
      </c>
      <c r="O43">
        <v>43250.123760798</v>
      </c>
      <c r="P43">
        <v>64875.1851411971</v>
      </c>
      <c r="R43">
        <v>8699.0059999999994</v>
      </c>
      <c r="S43">
        <v>399661.60379755899</v>
      </c>
      <c r="T43">
        <v>42067.757931504799</v>
      </c>
      <c r="U43">
        <v>583424.65303728799</v>
      </c>
      <c r="V43">
        <v>141695.29130822301</v>
      </c>
      <c r="X43">
        <v>8699.0059999999994</v>
      </c>
      <c r="Y43">
        <v>56149.256572631202</v>
      </c>
    </row>
    <row r="44" spans="7:25" x14ac:dyDescent="0.25">
      <c r="G44">
        <v>8700.0059999999994</v>
      </c>
      <c r="H44">
        <v>20.765000000000001</v>
      </c>
      <c r="I44">
        <v>32.254499999999901</v>
      </c>
      <c r="J44">
        <v>60.909999999999897</v>
      </c>
      <c r="K44">
        <v>7.1775000000000002</v>
      </c>
      <c r="M44">
        <v>8700.0059999999994</v>
      </c>
      <c r="N44">
        <v>6788.8289324311199</v>
      </c>
      <c r="O44">
        <v>43253.134760797999</v>
      </c>
      <c r="P44">
        <v>64879.7021411971</v>
      </c>
      <c r="R44">
        <v>8700.0059999999994</v>
      </c>
      <c r="S44">
        <v>399722.99979755899</v>
      </c>
      <c r="T44">
        <v>42072.592931504798</v>
      </c>
      <c r="U44">
        <v>583507.17003728799</v>
      </c>
      <c r="V44">
        <v>141711.57830822299</v>
      </c>
      <c r="X44">
        <v>8700.0059999999994</v>
      </c>
      <c r="Y44">
        <v>56168.558572631198</v>
      </c>
    </row>
    <row r="45" spans="7:25" x14ac:dyDescent="0.25">
      <c r="G45">
        <v>8701.0059999999994</v>
      </c>
      <c r="H45">
        <v>14.558</v>
      </c>
      <c r="I45">
        <v>34.712499999999899</v>
      </c>
      <c r="J45">
        <v>60.499999999999901</v>
      </c>
      <c r="K45">
        <v>10.7155</v>
      </c>
      <c r="M45">
        <v>8701.0059999999994</v>
      </c>
      <c r="N45">
        <v>6788.8289324311199</v>
      </c>
      <c r="O45">
        <v>43254.654760798003</v>
      </c>
      <c r="P45">
        <v>64881.982141197099</v>
      </c>
      <c r="R45">
        <v>8701.0059999999994</v>
      </c>
      <c r="S45">
        <v>399780.11979755899</v>
      </c>
      <c r="T45">
        <v>42077.427931504797</v>
      </c>
      <c r="U45">
        <v>583585.413037288</v>
      </c>
      <c r="V45">
        <v>141727.86430822301</v>
      </c>
      <c r="X45">
        <v>8701.0059999999994</v>
      </c>
      <c r="Y45">
        <v>56187.376572631198</v>
      </c>
    </row>
    <row r="46" spans="7:25" x14ac:dyDescent="0.25">
      <c r="G46">
        <v>8702.0059999999994</v>
      </c>
      <c r="H46">
        <v>6.3159999999999998</v>
      </c>
      <c r="I46">
        <v>39.046499999999902</v>
      </c>
      <c r="J46">
        <v>61.509999999999899</v>
      </c>
      <c r="K46">
        <v>15.974500000000001</v>
      </c>
      <c r="M46">
        <v>8702.0059999999994</v>
      </c>
      <c r="N46">
        <v>6788.8289324311199</v>
      </c>
      <c r="O46">
        <v>43254.830760798002</v>
      </c>
      <c r="P46">
        <v>64882.246141197102</v>
      </c>
      <c r="R46">
        <v>8702.0059999999994</v>
      </c>
      <c r="S46">
        <v>399836.08179755899</v>
      </c>
      <c r="T46">
        <v>42082.2639315048</v>
      </c>
      <c r="U46">
        <v>583662.49603728799</v>
      </c>
      <c r="V46">
        <v>141744.15130822299</v>
      </c>
      <c r="X46">
        <v>8702.0059999999994</v>
      </c>
      <c r="Y46">
        <v>56205.860572631202</v>
      </c>
    </row>
    <row r="47" spans="7:25" x14ac:dyDescent="0.25">
      <c r="G47">
        <v>8703.0059999999994</v>
      </c>
      <c r="H47">
        <v>0.57499999999999996</v>
      </c>
      <c r="I47">
        <v>42.009499999999903</v>
      </c>
      <c r="J47">
        <v>66.629999999999896</v>
      </c>
      <c r="K47">
        <v>24.045500000000001</v>
      </c>
      <c r="M47">
        <v>8703.0059999999994</v>
      </c>
      <c r="N47">
        <v>6788.8289324311199</v>
      </c>
      <c r="O47">
        <v>43254.830760798002</v>
      </c>
      <c r="P47">
        <v>64882.246141197102</v>
      </c>
      <c r="R47">
        <v>8703.0059999999994</v>
      </c>
      <c r="S47">
        <v>399894.998797559</v>
      </c>
      <c r="T47">
        <v>42087.098931504799</v>
      </c>
      <c r="U47">
        <v>583742.53603728802</v>
      </c>
      <c r="V47">
        <v>141760.43830822301</v>
      </c>
      <c r="X47">
        <v>8703.0059999999994</v>
      </c>
      <c r="Y47">
        <v>56222.570572631201</v>
      </c>
    </row>
    <row r="48" spans="7:25" x14ac:dyDescent="0.25">
      <c r="G48">
        <v>8704.0059999999994</v>
      </c>
      <c r="H48">
        <v>2E-3</v>
      </c>
      <c r="I48">
        <v>52.501499999999901</v>
      </c>
      <c r="J48">
        <v>85.229999999999905</v>
      </c>
      <c r="K48">
        <v>32.725499999999997</v>
      </c>
      <c r="M48">
        <v>8704.0059999999994</v>
      </c>
      <c r="N48">
        <v>6788.8289324311199</v>
      </c>
      <c r="O48">
        <v>43254.830760798002</v>
      </c>
      <c r="P48">
        <v>64882.246141197102</v>
      </c>
      <c r="R48">
        <v>8704.0059999999994</v>
      </c>
      <c r="S48">
        <v>399970.31579755899</v>
      </c>
      <c r="T48">
        <v>42091.933931504798</v>
      </c>
      <c r="U48">
        <v>583838.97503728804</v>
      </c>
      <c r="V48">
        <v>141776.72530822299</v>
      </c>
      <c r="X48">
        <v>8704.0059999999994</v>
      </c>
      <c r="Y48">
        <v>56240.660572631197</v>
      </c>
    </row>
    <row r="49" spans="7:25" x14ac:dyDescent="0.25">
      <c r="G49">
        <v>8705.0059999999994</v>
      </c>
      <c r="H49">
        <v>0</v>
      </c>
      <c r="I49">
        <v>72.039499999999904</v>
      </c>
      <c r="J49">
        <v>110.709999999999</v>
      </c>
      <c r="K49">
        <v>38.670499999999997</v>
      </c>
      <c r="M49">
        <v>8705.0059999999994</v>
      </c>
      <c r="N49">
        <v>6788.8289324311199</v>
      </c>
      <c r="O49">
        <v>43254.830760798002</v>
      </c>
      <c r="P49">
        <v>64882.246141197102</v>
      </c>
      <c r="R49">
        <v>8705.0059999999994</v>
      </c>
      <c r="S49">
        <v>400070.75879755901</v>
      </c>
      <c r="T49">
        <v>42096.769931504801</v>
      </c>
      <c r="U49">
        <v>583960.54103728803</v>
      </c>
      <c r="V49">
        <v>141793.012308223</v>
      </c>
      <c r="X49">
        <v>8705.0059999999994</v>
      </c>
      <c r="Y49">
        <v>56263.6215726312</v>
      </c>
    </row>
    <row r="50" spans="7:25" x14ac:dyDescent="0.25">
      <c r="G50">
        <v>8706.0059999999994</v>
      </c>
      <c r="H50">
        <v>0</v>
      </c>
      <c r="I50">
        <v>74.920499999999905</v>
      </c>
      <c r="J50">
        <v>117.83999999999899</v>
      </c>
      <c r="K50">
        <v>42.919499999999999</v>
      </c>
      <c r="M50">
        <v>8706.0059999999994</v>
      </c>
      <c r="N50">
        <v>6788.8289324311199</v>
      </c>
      <c r="O50">
        <v>43254.830760798002</v>
      </c>
      <c r="P50">
        <v>64882.246141197102</v>
      </c>
      <c r="R50">
        <v>8706.0059999999994</v>
      </c>
      <c r="S50">
        <v>400171.69779755903</v>
      </c>
      <c r="T50">
        <v>42101.6049315048</v>
      </c>
      <c r="U50">
        <v>584082.60103728797</v>
      </c>
      <c r="V50">
        <v>141809.29830822299</v>
      </c>
      <c r="X50">
        <v>8706.0059999999994</v>
      </c>
      <c r="Y50">
        <v>56283.3355726312</v>
      </c>
    </row>
    <row r="51" spans="7:25" x14ac:dyDescent="0.25">
      <c r="G51">
        <v>8707.0059999999994</v>
      </c>
      <c r="H51">
        <v>0</v>
      </c>
      <c r="I51">
        <v>49.0564999999999</v>
      </c>
      <c r="J51">
        <v>96.079999999999899</v>
      </c>
      <c r="K51">
        <v>47.023499999999999</v>
      </c>
      <c r="M51">
        <v>8707.0059999999994</v>
      </c>
      <c r="N51">
        <v>6788.8289324311199</v>
      </c>
      <c r="O51">
        <v>43254.830760798002</v>
      </c>
      <c r="P51">
        <v>64882.246141197102</v>
      </c>
      <c r="R51">
        <v>8707.0059999999994</v>
      </c>
      <c r="S51">
        <v>400231.86179755902</v>
      </c>
      <c r="T51">
        <v>42106.440931504803</v>
      </c>
      <c r="U51">
        <v>584163.88803728798</v>
      </c>
      <c r="V51">
        <v>141825.585308223</v>
      </c>
      <c r="X51">
        <v>8707.0059999999994</v>
      </c>
      <c r="Y51">
        <v>56294.411572631201</v>
      </c>
    </row>
    <row r="52" spans="7:25" x14ac:dyDescent="0.25">
      <c r="G52">
        <v>8708.0059999999994</v>
      </c>
      <c r="H52">
        <v>0</v>
      </c>
      <c r="I52">
        <v>37.4104999999999</v>
      </c>
      <c r="J52">
        <v>89.249999999999901</v>
      </c>
      <c r="K52">
        <v>51.839500000000001</v>
      </c>
      <c r="M52">
        <v>8708.0059999999994</v>
      </c>
      <c r="N52">
        <v>6788.8289324311199</v>
      </c>
      <c r="O52">
        <v>43254.830760798002</v>
      </c>
      <c r="P52">
        <v>64882.246141197102</v>
      </c>
      <c r="R52">
        <v>8708.0059999999994</v>
      </c>
      <c r="S52">
        <v>400267.91879755899</v>
      </c>
      <c r="T52">
        <v>42111.275931504802</v>
      </c>
      <c r="U52">
        <v>584221.06703728798</v>
      </c>
      <c r="V52">
        <v>141841.87230822301</v>
      </c>
      <c r="X52">
        <v>8708.0059999999994</v>
      </c>
      <c r="Y52">
        <v>56301.520572631198</v>
      </c>
    </row>
    <row r="53" spans="7:25" x14ac:dyDescent="0.25">
      <c r="G53">
        <v>8709.0059999999994</v>
      </c>
      <c r="H53">
        <v>0</v>
      </c>
      <c r="I53">
        <v>18.514499999999899</v>
      </c>
      <c r="J53">
        <v>72.969999999999899</v>
      </c>
      <c r="K53">
        <v>54.455500000000001</v>
      </c>
      <c r="M53">
        <v>8709.0059999999994</v>
      </c>
      <c r="N53">
        <v>6788.8289324311199</v>
      </c>
      <c r="O53">
        <v>43254.830760798002</v>
      </c>
      <c r="P53">
        <v>64882.246141197102</v>
      </c>
      <c r="R53">
        <v>8709.0059999999994</v>
      </c>
      <c r="S53">
        <v>400285.43179755902</v>
      </c>
      <c r="T53">
        <v>42116.110931504802</v>
      </c>
      <c r="U53">
        <v>584259.70203728799</v>
      </c>
      <c r="V53">
        <v>141858.159308223</v>
      </c>
      <c r="X53">
        <v>8709.0059999999994</v>
      </c>
      <c r="Y53">
        <v>56304.921572631203</v>
      </c>
    </row>
    <row r="54" spans="7:25" x14ac:dyDescent="0.25">
      <c r="G54">
        <v>8710.0059999999994</v>
      </c>
      <c r="H54">
        <v>0</v>
      </c>
      <c r="I54">
        <v>10.3974999999999</v>
      </c>
      <c r="J54">
        <v>66.8599999999999</v>
      </c>
      <c r="K54">
        <v>56.462499999999999</v>
      </c>
      <c r="M54">
        <v>8710.0059999999994</v>
      </c>
      <c r="N54">
        <v>6788.8289324311199</v>
      </c>
      <c r="O54">
        <v>43254.830760798002</v>
      </c>
      <c r="P54">
        <v>64882.246141197102</v>
      </c>
      <c r="R54">
        <v>8710.0059999999994</v>
      </c>
      <c r="S54">
        <v>400294.98079755902</v>
      </c>
      <c r="T54">
        <v>42120.946931504797</v>
      </c>
      <c r="U54">
        <v>584290.37303728797</v>
      </c>
      <c r="V54">
        <v>141874.44630822301</v>
      </c>
      <c r="X54">
        <v>8710.0059999999994</v>
      </c>
      <c r="Y54">
        <v>56306.6745726312</v>
      </c>
    </row>
    <row r="55" spans="7:25" x14ac:dyDescent="0.25">
      <c r="G55">
        <v>8711.0059999999994</v>
      </c>
      <c r="H55">
        <v>0</v>
      </c>
      <c r="I55">
        <v>4.9999999998817603E-4</v>
      </c>
      <c r="J55">
        <v>55.309999999999903</v>
      </c>
      <c r="K55">
        <v>58.743499999999997</v>
      </c>
      <c r="M55">
        <v>8711.0059999999994</v>
      </c>
      <c r="N55">
        <v>6789.4339324311204</v>
      </c>
      <c r="O55">
        <v>43254.830760798002</v>
      </c>
      <c r="P55">
        <v>64882.246141197102</v>
      </c>
      <c r="R55">
        <v>8711.0059999999994</v>
      </c>
      <c r="S55">
        <v>400294.98079755902</v>
      </c>
      <c r="T55">
        <v>42125.781931504796</v>
      </c>
      <c r="U55">
        <v>584311.49503728806</v>
      </c>
      <c r="V55">
        <v>141890.73330822299</v>
      </c>
      <c r="X55">
        <v>8711.0059999999994</v>
      </c>
      <c r="Y55">
        <v>56306.120572631196</v>
      </c>
    </row>
    <row r="56" spans="7:25" x14ac:dyDescent="0.25">
      <c r="G56">
        <v>8712.0059999999994</v>
      </c>
      <c r="H56">
        <v>0</v>
      </c>
      <c r="I56">
        <v>4.9999999998817603E-4</v>
      </c>
      <c r="J56">
        <v>43.079999999999899</v>
      </c>
      <c r="K56">
        <v>59.471499999999999</v>
      </c>
      <c r="M56">
        <v>8712.0059999999994</v>
      </c>
      <c r="N56">
        <v>6792.9869324311203</v>
      </c>
      <c r="O56">
        <v>43254.830760798002</v>
      </c>
      <c r="P56">
        <v>64882.246141197102</v>
      </c>
      <c r="R56">
        <v>8712.0059999999994</v>
      </c>
      <c r="S56">
        <v>400294.98079755902</v>
      </c>
      <c r="T56">
        <v>42130.616931504803</v>
      </c>
      <c r="U56">
        <v>584332.61803728796</v>
      </c>
      <c r="V56">
        <v>141907.01930822301</v>
      </c>
      <c r="X56">
        <v>8712.0059999999994</v>
      </c>
      <c r="Y56">
        <v>56303.546572631203</v>
      </c>
    </row>
    <row r="57" spans="7:25" x14ac:dyDescent="0.25">
      <c r="G57">
        <v>8713.0059999999994</v>
      </c>
      <c r="H57">
        <v>0</v>
      </c>
      <c r="I57">
        <v>4.9999999998817603E-4</v>
      </c>
      <c r="J57">
        <v>35.169999999999902</v>
      </c>
      <c r="K57">
        <v>59.5565</v>
      </c>
      <c r="M57">
        <v>8713.0059999999994</v>
      </c>
      <c r="N57">
        <v>6798.2159324311197</v>
      </c>
      <c r="O57">
        <v>43254.830760798002</v>
      </c>
      <c r="P57">
        <v>64882.246141197102</v>
      </c>
      <c r="R57">
        <v>8713.0059999999994</v>
      </c>
      <c r="S57">
        <v>400294.98079755902</v>
      </c>
      <c r="T57">
        <v>42135.452931504798</v>
      </c>
      <c r="U57">
        <v>584353.74003728805</v>
      </c>
      <c r="V57">
        <v>141923.30630822299</v>
      </c>
      <c r="X57">
        <v>8713.0059999999994</v>
      </c>
      <c r="Y57">
        <v>56300.101572631203</v>
      </c>
    </row>
    <row r="58" spans="7:25" x14ac:dyDescent="0.25">
      <c r="G58">
        <v>8714.0059999999994</v>
      </c>
      <c r="H58">
        <v>0</v>
      </c>
      <c r="I58">
        <v>4.9999999998817603E-4</v>
      </c>
      <c r="J58">
        <v>33.869999999999898</v>
      </c>
      <c r="K58">
        <v>61.149500000000003</v>
      </c>
      <c r="M58">
        <v>8714.0059999999994</v>
      </c>
      <c r="N58">
        <v>6804.0199324311197</v>
      </c>
      <c r="O58">
        <v>43254.830760798002</v>
      </c>
      <c r="P58">
        <v>64882.246141197102</v>
      </c>
      <c r="R58">
        <v>8714.0059999999994</v>
      </c>
      <c r="S58">
        <v>400294.98079755902</v>
      </c>
      <c r="T58">
        <v>42140.287931504798</v>
      </c>
      <c r="U58">
        <v>584374.86203728803</v>
      </c>
      <c r="V58">
        <v>141939.593308223</v>
      </c>
      <c r="X58">
        <v>8714.0059999999994</v>
      </c>
      <c r="Y58">
        <v>56296.107572631197</v>
      </c>
    </row>
    <row r="59" spans="7:25" x14ac:dyDescent="0.25">
      <c r="G59">
        <v>8715.0059999999994</v>
      </c>
      <c r="H59">
        <v>0</v>
      </c>
      <c r="I59">
        <v>4.9999999998817603E-4</v>
      </c>
      <c r="J59">
        <v>31.6299999999999</v>
      </c>
      <c r="K59">
        <v>63.689500000000002</v>
      </c>
      <c r="M59">
        <v>8715.0059999999994</v>
      </c>
      <c r="N59">
        <v>6810.6689324311201</v>
      </c>
      <c r="O59">
        <v>43254.830760798002</v>
      </c>
      <c r="P59">
        <v>64882.246141197102</v>
      </c>
      <c r="R59">
        <v>8715.0059999999994</v>
      </c>
      <c r="S59">
        <v>400294.98079755902</v>
      </c>
      <c r="T59">
        <v>42145.123931504801</v>
      </c>
      <c r="U59">
        <v>584395.984037288</v>
      </c>
      <c r="V59">
        <v>141955.88030822299</v>
      </c>
      <c r="X59">
        <v>8715.0059999999994</v>
      </c>
      <c r="Y59">
        <v>56290.903572631199</v>
      </c>
    </row>
    <row r="60" spans="7:25" x14ac:dyDescent="0.25">
      <c r="G60">
        <v>8716.0059999999994</v>
      </c>
      <c r="H60">
        <v>0</v>
      </c>
      <c r="I60">
        <v>4.9999999998817603E-4</v>
      </c>
      <c r="J60">
        <v>31.049999999999901</v>
      </c>
      <c r="K60">
        <v>65.239500000000007</v>
      </c>
      <c r="M60">
        <v>8716.0059999999994</v>
      </c>
      <c r="N60">
        <v>6817.8199324311199</v>
      </c>
      <c r="O60">
        <v>43254.830760798002</v>
      </c>
      <c r="P60">
        <v>64882.246141197102</v>
      </c>
      <c r="R60">
        <v>8716.0059999999994</v>
      </c>
      <c r="S60">
        <v>400294.98079755902</v>
      </c>
      <c r="T60">
        <v>42149.9589315048</v>
      </c>
      <c r="U60">
        <v>584417.10603728797</v>
      </c>
      <c r="V60">
        <v>141972.167308223</v>
      </c>
      <c r="X60">
        <v>8716.0059999999994</v>
      </c>
      <c r="Y60">
        <v>56286.055572631201</v>
      </c>
    </row>
    <row r="61" spans="7:25" x14ac:dyDescent="0.25">
      <c r="G61">
        <v>8717.0059999999994</v>
      </c>
      <c r="H61">
        <v>0</v>
      </c>
      <c r="I61">
        <v>-4.9500000000008898E-2</v>
      </c>
      <c r="J61">
        <v>33.509999999999899</v>
      </c>
      <c r="K61">
        <v>66.095500000000001</v>
      </c>
      <c r="M61">
        <v>8717.0059999999994</v>
      </c>
      <c r="N61">
        <v>6824.7779324311196</v>
      </c>
      <c r="O61">
        <v>43254.841760798001</v>
      </c>
      <c r="P61">
        <v>64882.262141197098</v>
      </c>
      <c r="R61">
        <v>8717.0059999999994</v>
      </c>
      <c r="S61">
        <v>400294.96979755902</v>
      </c>
      <c r="T61">
        <v>42154.793931504799</v>
      </c>
      <c r="U61">
        <v>584438.21803728805</v>
      </c>
      <c r="V61">
        <v>141988.45330822299</v>
      </c>
      <c r="X61">
        <v>8717.0059999999994</v>
      </c>
      <c r="Y61">
        <v>56281.625572631201</v>
      </c>
    </row>
    <row r="62" spans="7:25" x14ac:dyDescent="0.25">
      <c r="G62">
        <v>8718.0059999999994</v>
      </c>
      <c r="H62">
        <v>0</v>
      </c>
      <c r="I62">
        <v>4.9999999998817603E-4</v>
      </c>
      <c r="J62">
        <v>41.019999999999897</v>
      </c>
      <c r="K62">
        <v>67.032499999999999</v>
      </c>
      <c r="M62">
        <v>8718.0059999999994</v>
      </c>
      <c r="N62">
        <v>6830.3899324311196</v>
      </c>
      <c r="O62">
        <v>43254.841760798001</v>
      </c>
      <c r="P62">
        <v>64882.262141197098</v>
      </c>
      <c r="R62">
        <v>8718.0059999999994</v>
      </c>
      <c r="S62">
        <v>400294.96979755902</v>
      </c>
      <c r="T62">
        <v>42159.629931504802</v>
      </c>
      <c r="U62">
        <v>584459.34003728803</v>
      </c>
      <c r="V62">
        <v>142004.740308223</v>
      </c>
      <c r="X62">
        <v>8718.0059999999994</v>
      </c>
      <c r="Y62">
        <v>56277.7275726312</v>
      </c>
    </row>
    <row r="63" spans="7:25" x14ac:dyDescent="0.25">
      <c r="G63">
        <v>8719.0059999999994</v>
      </c>
      <c r="H63">
        <v>0</v>
      </c>
      <c r="I63">
        <v>-7.9500000000010104E-2</v>
      </c>
      <c r="J63">
        <v>47.339999999999897</v>
      </c>
      <c r="K63">
        <v>67.865499999999997</v>
      </c>
      <c r="M63">
        <v>8719.0059999999994</v>
      </c>
      <c r="N63">
        <v>6834.8119324311201</v>
      </c>
      <c r="O63">
        <v>43254.858760798001</v>
      </c>
      <c r="P63">
        <v>64882.288141197103</v>
      </c>
      <c r="R63">
        <v>8719.0059999999994</v>
      </c>
      <c r="S63">
        <v>400294.95279755897</v>
      </c>
      <c r="T63">
        <v>42164.464931504801</v>
      </c>
      <c r="U63">
        <v>584480.44503728801</v>
      </c>
      <c r="V63">
        <v>142021.02730822301</v>
      </c>
      <c r="X63">
        <v>8719.0059999999994</v>
      </c>
      <c r="Y63">
        <v>56273.944572631197</v>
      </c>
    </row>
    <row r="64" spans="7:25" x14ac:dyDescent="0.25">
      <c r="G64">
        <v>8720.0059999999994</v>
      </c>
      <c r="H64">
        <v>7.0000000000000001E-3</v>
      </c>
      <c r="I64">
        <v>4.9999999998817603E-4</v>
      </c>
      <c r="J64">
        <v>61.1099999999999</v>
      </c>
      <c r="K64">
        <v>68.709500000000006</v>
      </c>
      <c r="M64">
        <v>8720.0059999999994</v>
      </c>
      <c r="N64">
        <v>6836.4599324311203</v>
      </c>
      <c r="O64">
        <v>43254.858760798001</v>
      </c>
      <c r="P64">
        <v>64882.288141197103</v>
      </c>
      <c r="R64">
        <v>8720.0059999999994</v>
      </c>
      <c r="S64">
        <v>400294.95279755897</v>
      </c>
      <c r="T64">
        <v>42169.2999315048</v>
      </c>
      <c r="U64">
        <v>584501.56703728798</v>
      </c>
      <c r="V64">
        <v>142037.31430822299</v>
      </c>
      <c r="X64">
        <v>8720.0059999999994</v>
      </c>
      <c r="Y64">
        <v>56272.346572631199</v>
      </c>
    </row>
    <row r="65" spans="7:25" x14ac:dyDescent="0.25">
      <c r="G65">
        <v>8721.0059999999994</v>
      </c>
      <c r="H65">
        <v>0.751</v>
      </c>
      <c r="I65">
        <v>4.9999999998817603E-4</v>
      </c>
      <c r="J65">
        <v>66.899999999999906</v>
      </c>
      <c r="K65">
        <v>69.078500000000005</v>
      </c>
      <c r="M65">
        <v>8721.0059999999994</v>
      </c>
      <c r="N65">
        <v>6837.0999324311197</v>
      </c>
      <c r="O65">
        <v>43254.858760798001</v>
      </c>
      <c r="P65">
        <v>64882.288141197103</v>
      </c>
      <c r="R65">
        <v>8721.0059999999994</v>
      </c>
      <c r="S65">
        <v>400294.95279755897</v>
      </c>
      <c r="T65">
        <v>42174.135931504803</v>
      </c>
      <c r="U65">
        <v>584522.68903728796</v>
      </c>
      <c r="V65">
        <v>142053.60130822301</v>
      </c>
      <c r="X65">
        <v>8721.0059999999994</v>
      </c>
      <c r="Y65">
        <v>56271.735572631202</v>
      </c>
    </row>
    <row r="66" spans="7:25" x14ac:dyDescent="0.25">
      <c r="G66">
        <v>8722.0059999999994</v>
      </c>
      <c r="H66">
        <v>2.9340000000000002</v>
      </c>
      <c r="I66">
        <v>-0.11450000000001299</v>
      </c>
      <c r="J66">
        <v>63.209999999999901</v>
      </c>
      <c r="K66">
        <v>69.860500000000002</v>
      </c>
      <c r="M66">
        <v>8722.0059999999994</v>
      </c>
      <c r="N66">
        <v>6839.1849324311197</v>
      </c>
      <c r="O66">
        <v>43254.883760798002</v>
      </c>
      <c r="P66">
        <v>64882.326141197103</v>
      </c>
      <c r="R66">
        <v>8722.0059999999994</v>
      </c>
      <c r="S66">
        <v>400294.92779755901</v>
      </c>
      <c r="T66">
        <v>42178.970931504802</v>
      </c>
      <c r="U66">
        <v>584543.78703728796</v>
      </c>
      <c r="V66">
        <v>142069.88830822299</v>
      </c>
      <c r="X66">
        <v>8722.0059999999994</v>
      </c>
      <c r="Y66">
        <v>56269.7615726312</v>
      </c>
    </row>
    <row r="67" spans="7:25" x14ac:dyDescent="0.25">
      <c r="G67">
        <v>8723.0059999999994</v>
      </c>
      <c r="H67">
        <v>4.7699999999999996</v>
      </c>
      <c r="I67">
        <v>-1.7305000000000099</v>
      </c>
      <c r="J67">
        <v>64.159999999999897</v>
      </c>
      <c r="K67">
        <v>68.563500000000005</v>
      </c>
      <c r="M67">
        <v>8723.0059999999994</v>
      </c>
      <c r="N67">
        <v>6841.1539324311198</v>
      </c>
      <c r="O67">
        <v>43255.261760797999</v>
      </c>
      <c r="P67">
        <v>64882.893141197099</v>
      </c>
      <c r="R67">
        <v>8723.0059999999994</v>
      </c>
      <c r="S67">
        <v>400294.54979755898</v>
      </c>
      <c r="T67">
        <v>42183.806931504798</v>
      </c>
      <c r="U67">
        <v>584564.53103728802</v>
      </c>
      <c r="V67">
        <v>142086.17430822301</v>
      </c>
      <c r="X67">
        <v>8723.0059999999994</v>
      </c>
      <c r="Y67">
        <v>56267.518572631197</v>
      </c>
    </row>
    <row r="68" spans="7:25" x14ac:dyDescent="0.25">
      <c r="G68">
        <v>8724.0059999999994</v>
      </c>
      <c r="H68">
        <v>5.07</v>
      </c>
      <c r="I68">
        <v>-0.942500000000009</v>
      </c>
      <c r="J68">
        <v>63.189999999999898</v>
      </c>
      <c r="K68">
        <v>66.4435</v>
      </c>
      <c r="M68">
        <v>8724.0059999999994</v>
      </c>
      <c r="N68">
        <v>6842.9729324311202</v>
      </c>
      <c r="O68">
        <v>43255.470760798002</v>
      </c>
      <c r="P68">
        <v>64883.206141197101</v>
      </c>
      <c r="R68">
        <v>8724.0059999999994</v>
      </c>
      <c r="S68">
        <v>400294.34079755901</v>
      </c>
      <c r="T68">
        <v>42188.641931504797</v>
      </c>
      <c r="U68">
        <v>584585.44403728796</v>
      </c>
      <c r="V68">
        <v>142102.46130822299</v>
      </c>
      <c r="X68">
        <v>8724.0059999999994</v>
      </c>
      <c r="Y68">
        <v>56265.545572631199</v>
      </c>
    </row>
    <row r="69" spans="7:25" x14ac:dyDescent="0.25">
      <c r="G69">
        <v>8725.0059999999994</v>
      </c>
      <c r="H69">
        <v>4.298</v>
      </c>
      <c r="I69">
        <v>-0.139500000000012</v>
      </c>
      <c r="J69">
        <v>66.649999999999906</v>
      </c>
      <c r="K69">
        <v>65.535499999999999</v>
      </c>
      <c r="M69">
        <v>8725.0059999999994</v>
      </c>
      <c r="N69">
        <v>6843.6669324311197</v>
      </c>
      <c r="O69">
        <v>43255.501760797997</v>
      </c>
      <c r="P69">
        <v>64883.253141197099</v>
      </c>
      <c r="R69">
        <v>8725.0059999999994</v>
      </c>
      <c r="S69">
        <v>400294.30979755899</v>
      </c>
      <c r="T69">
        <v>42193.476931504803</v>
      </c>
      <c r="U69">
        <v>584606.53503728798</v>
      </c>
      <c r="V69">
        <v>142118.748308223</v>
      </c>
      <c r="X69">
        <v>8725.0059999999994</v>
      </c>
      <c r="Y69">
        <v>56264.793572631199</v>
      </c>
    </row>
    <row r="70" spans="7:25" x14ac:dyDescent="0.25">
      <c r="G70">
        <v>8726.0059999999994</v>
      </c>
      <c r="H70">
        <v>2.407</v>
      </c>
      <c r="I70">
        <v>4.9999999998817603E-4</v>
      </c>
      <c r="J70">
        <v>63.389999999999901</v>
      </c>
      <c r="K70">
        <v>61.049500000000002</v>
      </c>
      <c r="M70">
        <v>8726.0059999999994</v>
      </c>
      <c r="N70">
        <v>6843.68193243112</v>
      </c>
      <c r="O70">
        <v>43255.501760797997</v>
      </c>
      <c r="P70">
        <v>64883.253141197099</v>
      </c>
      <c r="R70">
        <v>8726.0059999999994</v>
      </c>
      <c r="S70">
        <v>400294.30979755899</v>
      </c>
      <c r="T70">
        <v>42198.312931504799</v>
      </c>
      <c r="U70">
        <v>584627.65703728795</v>
      </c>
      <c r="V70">
        <v>142135.03530822301</v>
      </c>
      <c r="X70">
        <v>8726.0059999999994</v>
      </c>
      <c r="Y70">
        <v>56264.777572631203</v>
      </c>
    </row>
    <row r="71" spans="7:25" x14ac:dyDescent="0.25">
      <c r="G71">
        <v>8727.0059999999994</v>
      </c>
      <c r="H71">
        <v>0.34300000000000003</v>
      </c>
      <c r="I71">
        <v>22.302499999999899</v>
      </c>
      <c r="J71">
        <v>77.489999999999895</v>
      </c>
      <c r="K71">
        <v>54.844499999999996</v>
      </c>
      <c r="M71">
        <v>8727.0059999999994</v>
      </c>
      <c r="N71">
        <v>6843.68193243112</v>
      </c>
      <c r="O71">
        <v>43255.501760797997</v>
      </c>
      <c r="P71">
        <v>64883.253141197099</v>
      </c>
      <c r="R71">
        <v>8727.0059999999994</v>
      </c>
      <c r="S71">
        <v>400319.01679755899</v>
      </c>
      <c r="T71">
        <v>42203.147931504798</v>
      </c>
      <c r="U71">
        <v>584673.48703728803</v>
      </c>
      <c r="V71">
        <v>142151.322308223</v>
      </c>
      <c r="X71">
        <v>8727.0059999999994</v>
      </c>
      <c r="Y71">
        <v>56271.065572631203</v>
      </c>
    </row>
    <row r="72" spans="7:25" x14ac:dyDescent="0.25">
      <c r="G72">
        <v>8728.0059999999994</v>
      </c>
      <c r="H72">
        <v>2E-3</v>
      </c>
      <c r="I72">
        <v>34.507499999999901</v>
      </c>
      <c r="J72">
        <v>84.709999999999894</v>
      </c>
      <c r="K72">
        <v>50.1995</v>
      </c>
      <c r="M72">
        <v>8728.0059999999994</v>
      </c>
      <c r="N72">
        <v>6843.68193243112</v>
      </c>
      <c r="O72">
        <v>43255.501760797997</v>
      </c>
      <c r="P72">
        <v>64883.253141197099</v>
      </c>
      <c r="R72">
        <v>8728.0059999999994</v>
      </c>
      <c r="S72">
        <v>400359.48479755898</v>
      </c>
      <c r="T72">
        <v>42207.982931504797</v>
      </c>
      <c r="U72">
        <v>584735.07703728799</v>
      </c>
      <c r="V72">
        <v>142167.60830822299</v>
      </c>
      <c r="X72">
        <v>8728.0059999999994</v>
      </c>
      <c r="Y72">
        <v>56281.376572631198</v>
      </c>
    </row>
    <row r="73" spans="7:25" x14ac:dyDescent="0.25">
      <c r="G73">
        <v>8729.0059999999994</v>
      </c>
      <c r="H73">
        <v>0</v>
      </c>
      <c r="I73">
        <v>58.9194999999999</v>
      </c>
      <c r="J73">
        <v>108.789999999999</v>
      </c>
      <c r="K73">
        <v>49.8705</v>
      </c>
      <c r="M73">
        <v>8729.0059999999994</v>
      </c>
      <c r="N73">
        <v>6843.68193243112</v>
      </c>
      <c r="O73">
        <v>43255.501760797997</v>
      </c>
      <c r="P73">
        <v>64883.253141197099</v>
      </c>
      <c r="R73">
        <v>8729.0059999999994</v>
      </c>
      <c r="S73">
        <v>400432.096797559</v>
      </c>
      <c r="T73">
        <v>42212.8189315048</v>
      </c>
      <c r="U73">
        <v>584828.81103728805</v>
      </c>
      <c r="V73">
        <v>142183.895308223</v>
      </c>
      <c r="X73">
        <v>8729.0059999999994</v>
      </c>
      <c r="Y73">
        <v>56299.919572631203</v>
      </c>
    </row>
    <row r="74" spans="7:25" x14ac:dyDescent="0.25">
      <c r="G74">
        <v>8730.0059999999994</v>
      </c>
      <c r="H74">
        <v>0</v>
      </c>
      <c r="I74">
        <v>53.5994999999999</v>
      </c>
      <c r="J74">
        <v>105.819999999999</v>
      </c>
      <c r="K74">
        <v>52.220500000000001</v>
      </c>
      <c r="M74">
        <v>8730.0059999999994</v>
      </c>
      <c r="N74">
        <v>6843.68193243112</v>
      </c>
      <c r="O74">
        <v>43255.501760797997</v>
      </c>
      <c r="P74">
        <v>64883.253141197099</v>
      </c>
      <c r="R74">
        <v>8730.0059999999994</v>
      </c>
      <c r="S74">
        <v>400496.71179755899</v>
      </c>
      <c r="T74">
        <v>42217.653931504799</v>
      </c>
      <c r="U74">
        <v>584914.54803728801</v>
      </c>
      <c r="V74">
        <v>142200.18230822301</v>
      </c>
      <c r="X74">
        <v>8730.0059999999994</v>
      </c>
      <c r="Y74">
        <v>56316.036572631201</v>
      </c>
    </row>
    <row r="75" spans="7:25" x14ac:dyDescent="0.25">
      <c r="G75">
        <v>8731.0059999999994</v>
      </c>
      <c r="H75">
        <v>0</v>
      </c>
      <c r="I75">
        <v>38.647499999999901</v>
      </c>
      <c r="J75">
        <v>88.809999999999903</v>
      </c>
      <c r="K75">
        <v>50.162500000000001</v>
      </c>
      <c r="M75">
        <v>8731.0059999999994</v>
      </c>
      <c r="N75">
        <v>6843.68193243112</v>
      </c>
      <c r="O75">
        <v>43255.501760797997</v>
      </c>
      <c r="P75">
        <v>64883.253141197099</v>
      </c>
      <c r="R75">
        <v>8731.0059999999994</v>
      </c>
      <c r="S75">
        <v>400542.69679755898</v>
      </c>
      <c r="T75">
        <v>42222.489931504802</v>
      </c>
      <c r="U75">
        <v>584981.65603728802</v>
      </c>
      <c r="V75">
        <v>142216.46930822299</v>
      </c>
      <c r="X75">
        <v>8731.0059999999994</v>
      </c>
      <c r="Y75">
        <v>56326.998572631201</v>
      </c>
    </row>
    <row r="76" spans="7:25" x14ac:dyDescent="0.25">
      <c r="G76">
        <v>8732.0059999999994</v>
      </c>
      <c r="H76">
        <v>0</v>
      </c>
      <c r="I76">
        <v>41.701499999999903</v>
      </c>
      <c r="J76">
        <v>89.599999999999895</v>
      </c>
      <c r="K76">
        <v>47.898499999999999</v>
      </c>
      <c r="M76">
        <v>8732.0059999999994</v>
      </c>
      <c r="N76">
        <v>6843.68193243112</v>
      </c>
      <c r="O76">
        <v>43255.501760797997</v>
      </c>
      <c r="P76">
        <v>64883.253141197099</v>
      </c>
      <c r="R76">
        <v>8732.0059999999994</v>
      </c>
      <c r="S76">
        <v>400592.22379755898</v>
      </c>
      <c r="T76">
        <v>42227.324931504801</v>
      </c>
      <c r="U76">
        <v>585052.30403728795</v>
      </c>
      <c r="V76">
        <v>142232.756308223</v>
      </c>
      <c r="X76">
        <v>8732.0059999999994</v>
      </c>
      <c r="Y76">
        <v>56336.702572631199</v>
      </c>
    </row>
    <row r="77" spans="7:25" x14ac:dyDescent="0.25">
      <c r="G77">
        <v>8733.0059999999994</v>
      </c>
      <c r="H77">
        <v>0</v>
      </c>
      <c r="I77">
        <v>37.764499999999899</v>
      </c>
      <c r="J77">
        <v>83.809999999999903</v>
      </c>
      <c r="K77">
        <v>46.045499999999997</v>
      </c>
      <c r="M77">
        <v>8733.0059999999994</v>
      </c>
      <c r="N77">
        <v>6843.68193243112</v>
      </c>
      <c r="O77">
        <v>43255.501760797997</v>
      </c>
      <c r="P77">
        <v>64883.253141197099</v>
      </c>
      <c r="R77">
        <v>8733.0059999999994</v>
      </c>
      <c r="S77">
        <v>400637.21479755902</v>
      </c>
      <c r="T77">
        <v>42232.159931504801</v>
      </c>
      <c r="U77">
        <v>585118.41803728801</v>
      </c>
      <c r="V77">
        <v>142249.042308223</v>
      </c>
      <c r="X77">
        <v>8733.0059999999994</v>
      </c>
      <c r="Y77">
        <v>56345.586572631197</v>
      </c>
    </row>
    <row r="78" spans="7:25" x14ac:dyDescent="0.25">
      <c r="G78">
        <v>8734.0059999999994</v>
      </c>
      <c r="H78">
        <v>0</v>
      </c>
      <c r="I78">
        <v>26.8704999999999</v>
      </c>
      <c r="J78">
        <v>71.009999999999906</v>
      </c>
      <c r="K78">
        <v>44.139499999999998</v>
      </c>
      <c r="M78">
        <v>8734.0059999999994</v>
      </c>
      <c r="N78">
        <v>6843.68193243112</v>
      </c>
      <c r="O78">
        <v>43255.501760797997</v>
      </c>
      <c r="P78">
        <v>64883.253141197099</v>
      </c>
      <c r="R78">
        <v>8734.0059999999994</v>
      </c>
      <c r="S78">
        <v>400667.042797559</v>
      </c>
      <c r="T78">
        <v>42236.995931504804</v>
      </c>
      <c r="U78">
        <v>585169.36803728796</v>
      </c>
      <c r="V78">
        <v>142265.32930822301</v>
      </c>
      <c r="X78">
        <v>8734.0059999999994</v>
      </c>
      <c r="Y78">
        <v>56351.125572631201</v>
      </c>
    </row>
    <row r="79" spans="7:25" x14ac:dyDescent="0.25">
      <c r="G79">
        <v>8735.0059999999994</v>
      </c>
      <c r="H79">
        <v>0</v>
      </c>
      <c r="I79">
        <v>16.531499999999902</v>
      </c>
      <c r="J79">
        <v>58.649999999999899</v>
      </c>
      <c r="K79">
        <v>42.118499999999997</v>
      </c>
      <c r="M79">
        <v>8735.0059999999994</v>
      </c>
      <c r="N79">
        <v>6843.68193243112</v>
      </c>
      <c r="O79">
        <v>43255.501760797997</v>
      </c>
      <c r="P79">
        <v>64883.253141197099</v>
      </c>
      <c r="R79">
        <v>8735.0059999999994</v>
      </c>
      <c r="S79">
        <v>400684.92479755898</v>
      </c>
      <c r="T79">
        <v>42241.830931504803</v>
      </c>
      <c r="U79">
        <v>585208.37203728803</v>
      </c>
      <c r="V79">
        <v>142281.61630822299</v>
      </c>
      <c r="X79">
        <v>8735.0059999999994</v>
      </c>
      <c r="Y79">
        <v>56354.544572631203</v>
      </c>
    </row>
    <row r="80" spans="7:25" x14ac:dyDescent="0.25">
      <c r="G80">
        <v>8736.0059999999994</v>
      </c>
      <c r="H80">
        <v>0</v>
      </c>
      <c r="I80">
        <v>4.9999999998817603E-4</v>
      </c>
      <c r="J80">
        <v>44.729999999999897</v>
      </c>
      <c r="K80">
        <v>44.733499999999999</v>
      </c>
      <c r="M80">
        <v>8736.0059999999994</v>
      </c>
      <c r="N80">
        <v>6843.6829324311202</v>
      </c>
      <c r="O80">
        <v>43255.501760797997</v>
      </c>
      <c r="P80">
        <v>64883.253141197099</v>
      </c>
      <c r="R80">
        <v>8736.0059999999994</v>
      </c>
      <c r="S80">
        <v>400684.92479755898</v>
      </c>
      <c r="T80">
        <v>42246.665931504802</v>
      </c>
      <c r="U80">
        <v>585229.49403728801</v>
      </c>
      <c r="V80">
        <v>142297.903308223</v>
      </c>
      <c r="X80">
        <v>8736.0059999999994</v>
      </c>
      <c r="Y80">
        <v>56354.543572631199</v>
      </c>
    </row>
    <row r="81" spans="7:25" x14ac:dyDescent="0.25">
      <c r="G81">
        <v>8737.0059999999994</v>
      </c>
      <c r="H81">
        <v>0</v>
      </c>
      <c r="I81">
        <v>4.9999999998817603E-4</v>
      </c>
      <c r="J81">
        <v>36.5399999999999</v>
      </c>
      <c r="K81">
        <v>45.066499999999998</v>
      </c>
      <c r="M81">
        <v>8737.0059999999994</v>
      </c>
      <c r="N81">
        <v>6845.5119324311199</v>
      </c>
      <c r="O81">
        <v>43255.501760797997</v>
      </c>
      <c r="P81">
        <v>64883.253141197099</v>
      </c>
      <c r="R81">
        <v>8737.0059999999994</v>
      </c>
      <c r="S81">
        <v>400684.92479755898</v>
      </c>
      <c r="T81">
        <v>42251.501931504798</v>
      </c>
      <c r="U81">
        <v>585250.61703728803</v>
      </c>
      <c r="V81">
        <v>142314.19030822301</v>
      </c>
      <c r="X81">
        <v>8737.0059999999994</v>
      </c>
      <c r="Y81">
        <v>56352.971572631199</v>
      </c>
    </row>
    <row r="82" spans="7:25" x14ac:dyDescent="0.25">
      <c r="G82">
        <v>8738.0059999999994</v>
      </c>
      <c r="H82">
        <v>0</v>
      </c>
      <c r="I82">
        <v>4.9999999998817603E-4</v>
      </c>
      <c r="J82">
        <v>33.5399999999999</v>
      </c>
      <c r="K82">
        <v>43.769500000000001</v>
      </c>
      <c r="M82">
        <v>8738.0059999999994</v>
      </c>
      <c r="N82">
        <v>6847.6519324311203</v>
      </c>
      <c r="O82">
        <v>43255.501760797997</v>
      </c>
      <c r="P82">
        <v>64883.253141197099</v>
      </c>
      <c r="R82">
        <v>8738.0059999999994</v>
      </c>
      <c r="S82">
        <v>400684.92479755898</v>
      </c>
      <c r="T82">
        <v>42256.336931504797</v>
      </c>
      <c r="U82">
        <v>585271.739037288</v>
      </c>
      <c r="V82">
        <v>142330.47730822299</v>
      </c>
      <c r="X82">
        <v>8738.0059999999994</v>
      </c>
      <c r="Y82">
        <v>56351.0685726312</v>
      </c>
    </row>
    <row r="83" spans="7:25" x14ac:dyDescent="0.25">
      <c r="G83">
        <v>8739.0059999999994</v>
      </c>
      <c r="H83">
        <v>0</v>
      </c>
      <c r="I83">
        <v>4.9999999998817603E-4</v>
      </c>
      <c r="J83">
        <v>29.5199999999999</v>
      </c>
      <c r="K83">
        <v>43.8125</v>
      </c>
      <c r="M83">
        <v>8739.0059999999994</v>
      </c>
      <c r="N83">
        <v>6850.64193243112</v>
      </c>
      <c r="O83">
        <v>43255.501760797997</v>
      </c>
      <c r="P83">
        <v>64883.253141197099</v>
      </c>
      <c r="R83">
        <v>8739.0059999999994</v>
      </c>
      <c r="S83">
        <v>400684.92479755898</v>
      </c>
      <c r="T83">
        <v>42261.1729315048</v>
      </c>
      <c r="U83">
        <v>585292.86103728798</v>
      </c>
      <c r="V83">
        <v>142346.76330822299</v>
      </c>
      <c r="X83">
        <v>8739.0059999999994</v>
      </c>
      <c r="Y83">
        <v>56348.419572631203</v>
      </c>
    </row>
    <row r="84" spans="7:25" x14ac:dyDescent="0.25">
      <c r="G84">
        <v>8740.0059999999994</v>
      </c>
      <c r="H84">
        <v>0</v>
      </c>
      <c r="I84">
        <v>4.9999999998817603E-4</v>
      </c>
      <c r="J84">
        <v>28.959999999999901</v>
      </c>
      <c r="K84">
        <v>44.345500000000001</v>
      </c>
      <c r="M84">
        <v>8740.0059999999994</v>
      </c>
      <c r="N84">
        <v>6854.0209324311199</v>
      </c>
      <c r="O84">
        <v>43255.501760797997</v>
      </c>
      <c r="P84">
        <v>64883.253141197099</v>
      </c>
      <c r="R84">
        <v>8740.0059999999994</v>
      </c>
      <c r="S84">
        <v>400684.92479755898</v>
      </c>
      <c r="T84">
        <v>42266.007931504799</v>
      </c>
      <c r="U84">
        <v>585313.98303728795</v>
      </c>
      <c r="V84">
        <v>142363.050308223</v>
      </c>
      <c r="X84">
        <v>8740.0059999999994</v>
      </c>
      <c r="Y84">
        <v>56345.614572631202</v>
      </c>
    </row>
    <row r="85" spans="7:25" x14ac:dyDescent="0.25">
      <c r="G85">
        <v>8741.0059999999994</v>
      </c>
      <c r="H85">
        <v>0</v>
      </c>
      <c r="I85">
        <v>4.9999999998817603E-4</v>
      </c>
      <c r="J85">
        <v>30.899999999999899</v>
      </c>
      <c r="K85">
        <v>44.532499999999999</v>
      </c>
      <c r="M85">
        <v>8741.0059999999994</v>
      </c>
      <c r="N85">
        <v>6857.0579324311202</v>
      </c>
      <c r="O85">
        <v>43255.501760797997</v>
      </c>
      <c r="P85">
        <v>64883.253141197099</v>
      </c>
      <c r="R85">
        <v>8741.0059999999994</v>
      </c>
      <c r="S85">
        <v>400684.92479755898</v>
      </c>
      <c r="T85">
        <v>42270.842931504798</v>
      </c>
      <c r="U85">
        <v>585335.10503728804</v>
      </c>
      <c r="V85">
        <v>142379.33730822301</v>
      </c>
      <c r="X85">
        <v>8741.0059999999994</v>
      </c>
      <c r="Y85">
        <v>56343.125572631201</v>
      </c>
    </row>
    <row r="86" spans="7:25" x14ac:dyDescent="0.25">
      <c r="G86">
        <v>8742.0059999999994</v>
      </c>
      <c r="H86">
        <v>0</v>
      </c>
      <c r="I86">
        <v>4.9999999998817603E-4</v>
      </c>
      <c r="J86">
        <v>36.909999999999897</v>
      </c>
      <c r="K86">
        <v>46.165500000000002</v>
      </c>
      <c r="M86">
        <v>8742.0059999999994</v>
      </c>
      <c r="N86">
        <v>6859.19093243112</v>
      </c>
      <c r="O86">
        <v>43255.501760797997</v>
      </c>
      <c r="P86">
        <v>64883.253141197099</v>
      </c>
      <c r="R86">
        <v>8742.0059999999994</v>
      </c>
      <c r="S86">
        <v>400684.92479755898</v>
      </c>
      <c r="T86">
        <v>42275.678931504801</v>
      </c>
      <c r="U86">
        <v>585356.22803728795</v>
      </c>
      <c r="V86">
        <v>142395.62430822299</v>
      </c>
      <c r="X86">
        <v>8742.0059999999994</v>
      </c>
      <c r="Y86">
        <v>56341.419572631203</v>
      </c>
    </row>
    <row r="87" spans="7:25" x14ac:dyDescent="0.25">
      <c r="G87">
        <v>8743.0059999999994</v>
      </c>
      <c r="H87">
        <v>0</v>
      </c>
      <c r="I87">
        <v>4.9999999998817603E-4</v>
      </c>
      <c r="J87">
        <v>45.229999999999897</v>
      </c>
      <c r="K87">
        <v>47.503500000000003</v>
      </c>
      <c r="M87">
        <v>8743.0059999999994</v>
      </c>
      <c r="N87">
        <v>6859.7329324311204</v>
      </c>
      <c r="O87">
        <v>43255.501760797997</v>
      </c>
      <c r="P87">
        <v>64883.253141197099</v>
      </c>
      <c r="R87">
        <v>8743.0059999999994</v>
      </c>
      <c r="S87">
        <v>400684.92479755898</v>
      </c>
      <c r="T87">
        <v>42280.5139315048</v>
      </c>
      <c r="U87">
        <v>585377.35003728804</v>
      </c>
      <c r="V87">
        <v>142411.911308223</v>
      </c>
      <c r="X87">
        <v>8743.0059999999994</v>
      </c>
      <c r="Y87">
        <v>56340.986572631198</v>
      </c>
    </row>
    <row r="88" spans="7:25" x14ac:dyDescent="0.25">
      <c r="G88">
        <v>8744.0059999999994</v>
      </c>
      <c r="H88">
        <v>0</v>
      </c>
      <c r="I88">
        <v>7.9994999999999896</v>
      </c>
      <c r="J88">
        <v>56.329999999999899</v>
      </c>
      <c r="K88">
        <v>48.330500000000001</v>
      </c>
      <c r="M88">
        <v>8744.0059999999994</v>
      </c>
      <c r="N88">
        <v>6859.7329324311204</v>
      </c>
      <c r="O88">
        <v>43255.501760797997</v>
      </c>
      <c r="P88">
        <v>64883.253141197099</v>
      </c>
      <c r="R88">
        <v>8744.0059999999994</v>
      </c>
      <c r="S88">
        <v>400694.75379755901</v>
      </c>
      <c r="T88">
        <v>42285.348931504799</v>
      </c>
      <c r="U88">
        <v>585408.30103728804</v>
      </c>
      <c r="V88">
        <v>142428.197308223</v>
      </c>
      <c r="X88">
        <v>8744.0059999999994</v>
      </c>
      <c r="Y88">
        <v>56342.752572631201</v>
      </c>
    </row>
    <row r="89" spans="7:25" x14ac:dyDescent="0.25">
      <c r="G89">
        <v>8745.0059999999994</v>
      </c>
      <c r="H89">
        <v>0</v>
      </c>
      <c r="I89">
        <v>9.5424999999999898</v>
      </c>
      <c r="J89">
        <v>59.309999999999903</v>
      </c>
      <c r="K89">
        <v>49.767499999999998</v>
      </c>
      <c r="M89">
        <v>8745.0059999999994</v>
      </c>
      <c r="N89">
        <v>6859.7329324311204</v>
      </c>
      <c r="O89">
        <v>43255.501760797997</v>
      </c>
      <c r="P89">
        <v>64883.253141197099</v>
      </c>
      <c r="R89">
        <v>8745.0059999999994</v>
      </c>
      <c r="S89">
        <v>400706.49979755899</v>
      </c>
      <c r="T89">
        <v>42290.184931504802</v>
      </c>
      <c r="U89">
        <v>585441.16903728805</v>
      </c>
      <c r="V89">
        <v>142444.48430822301</v>
      </c>
      <c r="X89">
        <v>8745.0059999999994</v>
      </c>
      <c r="Y89">
        <v>56344.898572631202</v>
      </c>
    </row>
    <row r="90" spans="7:25" x14ac:dyDescent="0.25">
      <c r="G90">
        <v>8746.0059999999994</v>
      </c>
      <c r="H90">
        <v>0</v>
      </c>
      <c r="I90">
        <v>8.4434999999999807</v>
      </c>
      <c r="J90">
        <v>58.819999999999901</v>
      </c>
      <c r="K90">
        <v>50.3765</v>
      </c>
      <c r="M90">
        <v>8746.0059999999994</v>
      </c>
      <c r="N90">
        <v>6859.7329324311204</v>
      </c>
      <c r="O90">
        <v>43255.501760797997</v>
      </c>
      <c r="P90">
        <v>64883.253141197099</v>
      </c>
      <c r="R90">
        <v>8746.0059999999994</v>
      </c>
      <c r="S90">
        <v>400716.96779755899</v>
      </c>
      <c r="T90">
        <v>42295.019931504801</v>
      </c>
      <c r="U90">
        <v>585472.75903728802</v>
      </c>
      <c r="V90">
        <v>142460.77130822299</v>
      </c>
      <c r="X90">
        <v>8746.0059999999994</v>
      </c>
      <c r="Y90">
        <v>56346.7615726312</v>
      </c>
    </row>
    <row r="91" spans="7:25" x14ac:dyDescent="0.25">
      <c r="G91">
        <v>8747.0059999999994</v>
      </c>
      <c r="H91">
        <v>0</v>
      </c>
      <c r="I91">
        <v>13.3814999999999</v>
      </c>
      <c r="J91">
        <v>63.279999999999902</v>
      </c>
      <c r="K91">
        <v>49.898499999999999</v>
      </c>
      <c r="M91">
        <v>8747.0059999999994</v>
      </c>
      <c r="N91">
        <v>6859.7329324311204</v>
      </c>
      <c r="O91">
        <v>43255.501760797997</v>
      </c>
      <c r="P91">
        <v>64883.253141197099</v>
      </c>
      <c r="R91">
        <v>8747.0059999999994</v>
      </c>
      <c r="S91">
        <v>400733.44879755902</v>
      </c>
      <c r="T91">
        <v>42299.855931504797</v>
      </c>
      <c r="U91">
        <v>585510.36203728803</v>
      </c>
      <c r="V91">
        <v>142477.058308223</v>
      </c>
      <c r="X91">
        <v>8747.0059999999994</v>
      </c>
      <c r="Y91">
        <v>56349.723572631199</v>
      </c>
    </row>
    <row r="92" spans="7:25" x14ac:dyDescent="0.25">
      <c r="G92">
        <v>8748.0059999999994</v>
      </c>
      <c r="H92">
        <v>6.9809999999999999</v>
      </c>
      <c r="I92">
        <v>7.9254999999999898</v>
      </c>
      <c r="J92">
        <v>68.259999999999906</v>
      </c>
      <c r="K92">
        <v>51.831499999999998</v>
      </c>
      <c r="M92">
        <v>8748.0059999999994</v>
      </c>
      <c r="N92">
        <v>6859.7329324311204</v>
      </c>
      <c r="O92">
        <v>43256.064760797999</v>
      </c>
      <c r="P92">
        <v>64884.098141197101</v>
      </c>
      <c r="R92">
        <v>8748.0059999999994</v>
      </c>
      <c r="S92">
        <v>400745.36779755901</v>
      </c>
      <c r="T92">
        <v>42304.690931504803</v>
      </c>
      <c r="U92">
        <v>585543.40403728804</v>
      </c>
      <c r="V92">
        <v>142493.34530822301</v>
      </c>
      <c r="X92">
        <v>8748.0059999999994</v>
      </c>
      <c r="Y92">
        <v>56351.455572631203</v>
      </c>
    </row>
    <row r="93" spans="7:25" x14ac:dyDescent="0.25">
      <c r="G93">
        <v>8749.0059999999994</v>
      </c>
      <c r="H93">
        <v>3.544</v>
      </c>
      <c r="I93">
        <v>10.959499999999901</v>
      </c>
      <c r="J93">
        <v>67.969999999999899</v>
      </c>
      <c r="K93">
        <v>53.3645</v>
      </c>
      <c r="M93">
        <v>8749.0059999999994</v>
      </c>
      <c r="N93">
        <v>6859.7329324311204</v>
      </c>
      <c r="O93">
        <v>43256.090760797997</v>
      </c>
      <c r="P93">
        <v>64884.136141197101</v>
      </c>
      <c r="R93">
        <v>8749.0059999999994</v>
      </c>
      <c r="S93">
        <v>400758.76479755901</v>
      </c>
      <c r="T93">
        <v>42309.525931504802</v>
      </c>
      <c r="U93">
        <v>585577.92303728801</v>
      </c>
      <c r="V93">
        <v>142509.63230822299</v>
      </c>
      <c r="X93">
        <v>8749.0059999999994</v>
      </c>
      <c r="Y93">
        <v>56353.778572631199</v>
      </c>
    </row>
    <row r="94" spans="7:25" x14ac:dyDescent="0.25">
      <c r="G94">
        <v>8750.0059999999994</v>
      </c>
      <c r="H94">
        <v>5.2549999999999999</v>
      </c>
      <c r="I94">
        <v>10.417499999999899</v>
      </c>
      <c r="J94">
        <v>70.449999999999903</v>
      </c>
      <c r="K94">
        <v>54.590499999999999</v>
      </c>
      <c r="M94">
        <v>8750.0059999999994</v>
      </c>
      <c r="N94">
        <v>6859.7329324311204</v>
      </c>
      <c r="O94">
        <v>43256.166760797998</v>
      </c>
      <c r="P94">
        <v>64884.249141197099</v>
      </c>
      <c r="R94">
        <v>8750.0059999999994</v>
      </c>
      <c r="S94">
        <v>400771.68679755903</v>
      </c>
      <c r="T94">
        <v>42314.361931504798</v>
      </c>
      <c r="U94">
        <v>585611.96703728801</v>
      </c>
      <c r="V94">
        <v>142525.91830822299</v>
      </c>
      <c r="X94">
        <v>8750.0059999999994</v>
      </c>
      <c r="Y94">
        <v>56355.976572631203</v>
      </c>
    </row>
    <row r="95" spans="7:25" x14ac:dyDescent="0.25">
      <c r="G95">
        <v>8751.0059999999994</v>
      </c>
      <c r="H95">
        <v>4.7640000000000002</v>
      </c>
      <c r="I95">
        <v>13.001499999999901</v>
      </c>
      <c r="J95">
        <v>74.649999999999906</v>
      </c>
      <c r="K95">
        <v>56.395499999999998</v>
      </c>
      <c r="M95">
        <v>8751.0059999999994</v>
      </c>
      <c r="N95">
        <v>6859.7329324311204</v>
      </c>
      <c r="O95">
        <v>43256.325760797998</v>
      </c>
      <c r="P95">
        <v>64884.489141197097</v>
      </c>
      <c r="R95">
        <v>8751.0059999999994</v>
      </c>
      <c r="S95">
        <v>400788.28079755901</v>
      </c>
      <c r="T95">
        <v>42319.196931504797</v>
      </c>
      <c r="U95">
        <v>585649.68303728802</v>
      </c>
      <c r="V95">
        <v>142542.205308223</v>
      </c>
      <c r="X95">
        <v>8751.0059999999994</v>
      </c>
      <c r="Y95">
        <v>56358.519572631201</v>
      </c>
    </row>
    <row r="96" spans="7:25" x14ac:dyDescent="0.25">
      <c r="G96">
        <v>8752.0059999999994</v>
      </c>
      <c r="H96">
        <v>4.7640000000000002</v>
      </c>
      <c r="I96">
        <v>25.103499999999901</v>
      </c>
      <c r="J96">
        <v>88.969999999999899</v>
      </c>
      <c r="K96">
        <v>59.093499999999999</v>
      </c>
      <c r="M96">
        <v>8752.0059999999994</v>
      </c>
      <c r="N96">
        <v>6859.7329324311204</v>
      </c>
      <c r="O96">
        <v>43256.332760798003</v>
      </c>
      <c r="P96">
        <v>64884.498141197102</v>
      </c>
      <c r="R96">
        <v>8752.0059999999994</v>
      </c>
      <c r="S96">
        <v>400819.63679755898</v>
      </c>
      <c r="T96">
        <v>42324.031931504796</v>
      </c>
      <c r="U96">
        <v>585702.16203728796</v>
      </c>
      <c r="V96">
        <v>142558.49230822301</v>
      </c>
      <c r="X96">
        <v>8752.0059999999994</v>
      </c>
      <c r="Y96">
        <v>56363.429572631198</v>
      </c>
    </row>
    <row r="97" spans="7:25" x14ac:dyDescent="0.25">
      <c r="G97">
        <v>8753.0059999999994</v>
      </c>
      <c r="H97">
        <v>4.7640000000000002</v>
      </c>
      <c r="I97">
        <v>43.959499999999899</v>
      </c>
      <c r="J97">
        <v>109.569999999999</v>
      </c>
      <c r="K97">
        <v>60.823500000000003</v>
      </c>
      <c r="M97">
        <v>8753.0059999999994</v>
      </c>
      <c r="N97">
        <v>6859.7329324311204</v>
      </c>
      <c r="O97">
        <v>43256.354760798</v>
      </c>
      <c r="P97">
        <v>64884.532141197102</v>
      </c>
      <c r="R97">
        <v>8753.0059999999994</v>
      </c>
      <c r="S97">
        <v>400874.656797559</v>
      </c>
      <c r="T97">
        <v>42328.867931504799</v>
      </c>
      <c r="U97">
        <v>585778.30303728802</v>
      </c>
      <c r="V97">
        <v>142574.77930822299</v>
      </c>
      <c r="X97">
        <v>8753.0059999999994</v>
      </c>
      <c r="Y97">
        <v>56372.250572631201</v>
      </c>
    </row>
    <row r="98" spans="7:25" x14ac:dyDescent="0.25">
      <c r="G98">
        <v>8754.0059999999994</v>
      </c>
      <c r="H98">
        <v>4.7640000000000002</v>
      </c>
      <c r="I98">
        <v>42.866499999999903</v>
      </c>
      <c r="J98">
        <v>108.229999999999</v>
      </c>
      <c r="K98">
        <v>60.577500000000001</v>
      </c>
      <c r="M98">
        <v>8754.0059999999994</v>
      </c>
      <c r="N98">
        <v>6859.7329324311204</v>
      </c>
      <c r="O98">
        <v>43256.374760797997</v>
      </c>
      <c r="P98">
        <v>64884.562141197101</v>
      </c>
      <c r="R98">
        <v>8754.0059999999994</v>
      </c>
      <c r="S98">
        <v>400927.37079755898</v>
      </c>
      <c r="T98">
        <v>42333.702931504798</v>
      </c>
      <c r="U98">
        <v>585852.14003728796</v>
      </c>
      <c r="V98">
        <v>142591.066308223</v>
      </c>
      <c r="X98">
        <v>8754.0059999999994</v>
      </c>
      <c r="Y98">
        <v>56380.535572631197</v>
      </c>
    </row>
    <row r="99" spans="7:25" x14ac:dyDescent="0.25">
      <c r="G99">
        <v>8755.0059999999994</v>
      </c>
      <c r="H99">
        <v>4.7640000000000002</v>
      </c>
      <c r="I99">
        <v>20.987499999999901</v>
      </c>
      <c r="J99">
        <v>85.619999999999905</v>
      </c>
      <c r="K99">
        <v>59.854500000000002</v>
      </c>
      <c r="M99">
        <v>8755.0059999999994</v>
      </c>
      <c r="N99">
        <v>6859.7329324311204</v>
      </c>
      <c r="O99">
        <v>43256.384760797999</v>
      </c>
      <c r="P99">
        <v>64884.5771411971</v>
      </c>
      <c r="R99">
        <v>8755.0059999999994</v>
      </c>
      <c r="S99">
        <v>400952.526797559</v>
      </c>
      <c r="T99">
        <v>42338.538931504801</v>
      </c>
      <c r="U99">
        <v>585898.41803728801</v>
      </c>
      <c r="V99">
        <v>142607.35230822299</v>
      </c>
      <c r="X99">
        <v>8755.0059999999994</v>
      </c>
      <c r="Y99">
        <v>56384.1575726312</v>
      </c>
    </row>
    <row r="100" spans="7:25" x14ac:dyDescent="0.25">
      <c r="G100">
        <v>8756.0059999999994</v>
      </c>
      <c r="H100">
        <v>4.7640000000000002</v>
      </c>
      <c r="I100">
        <v>27.626499999999901</v>
      </c>
      <c r="J100">
        <v>91.329999999999899</v>
      </c>
      <c r="K100">
        <v>58.903500000000001</v>
      </c>
      <c r="M100">
        <v>8756.0059999999994</v>
      </c>
      <c r="N100">
        <v>6859.7329324311204</v>
      </c>
      <c r="O100">
        <v>43256.393760797997</v>
      </c>
      <c r="P100">
        <v>64884.590141197099</v>
      </c>
      <c r="R100">
        <v>8756.0059999999994</v>
      </c>
      <c r="S100">
        <v>400984.85679755901</v>
      </c>
      <c r="T100">
        <v>42343.373931504801</v>
      </c>
      <c r="U100">
        <v>585951.87003728806</v>
      </c>
      <c r="V100">
        <v>142623.63930822301</v>
      </c>
      <c r="X100">
        <v>8756.0059999999994</v>
      </c>
      <c r="Y100">
        <v>56388.788572631202</v>
      </c>
    </row>
    <row r="101" spans="7:25" x14ac:dyDescent="0.25">
      <c r="G101">
        <v>8757.0059999999994</v>
      </c>
      <c r="H101">
        <v>3.1349999999999998</v>
      </c>
      <c r="I101">
        <v>11.5064999999999</v>
      </c>
      <c r="J101">
        <v>74.939999999999898</v>
      </c>
      <c r="K101">
        <v>60.298499999999997</v>
      </c>
      <c r="M101">
        <v>8757.0059999999994</v>
      </c>
      <c r="N101">
        <v>6859.7329324311204</v>
      </c>
      <c r="O101">
        <v>43256.393760797997</v>
      </c>
      <c r="P101">
        <v>64884.590141197099</v>
      </c>
      <c r="R101">
        <v>8757.0059999999994</v>
      </c>
      <c r="S101">
        <v>400998.10079755902</v>
      </c>
      <c r="T101">
        <v>42348.2089315048</v>
      </c>
      <c r="U101">
        <v>585986.23603728798</v>
      </c>
      <c r="V101">
        <v>142639.92630822299</v>
      </c>
      <c r="X101">
        <v>8757.0059999999994</v>
      </c>
      <c r="Y101">
        <v>56390.664572631198</v>
      </c>
    </row>
    <row r="102" spans="7:25" x14ac:dyDescent="0.25">
      <c r="G102">
        <v>8758.0059999999994</v>
      </c>
      <c r="H102">
        <v>0</v>
      </c>
      <c r="I102">
        <v>8.7904999999999802</v>
      </c>
      <c r="J102">
        <v>68.499999999999901</v>
      </c>
      <c r="K102">
        <v>59.709499999999998</v>
      </c>
      <c r="M102">
        <v>8758.0059999999994</v>
      </c>
      <c r="N102">
        <v>6859.7329324311204</v>
      </c>
      <c r="O102">
        <v>43256.393760797997</v>
      </c>
      <c r="P102">
        <v>64884.590141197099</v>
      </c>
      <c r="R102">
        <v>8758.0059999999994</v>
      </c>
      <c r="S102">
        <v>401007.93679755903</v>
      </c>
      <c r="T102">
        <v>42353.044931504803</v>
      </c>
      <c r="U102">
        <v>586017.19503728801</v>
      </c>
      <c r="V102">
        <v>142656.213308223</v>
      </c>
      <c r="X102">
        <v>8758.0059999999994</v>
      </c>
      <c r="Y102">
        <v>56392.092572631198</v>
      </c>
    </row>
    <row r="103" spans="7:25" x14ac:dyDescent="0.25">
      <c r="G103">
        <v>8759.0059999999994</v>
      </c>
      <c r="H103">
        <v>0</v>
      </c>
      <c r="I103">
        <v>0.552499999999987</v>
      </c>
      <c r="J103">
        <v>59.779999999999902</v>
      </c>
      <c r="K103">
        <v>59.200499999999998</v>
      </c>
      <c r="M103">
        <v>8759.0059999999994</v>
      </c>
      <c r="N103">
        <v>6859.7329324311204</v>
      </c>
      <c r="O103">
        <v>43256.398760798002</v>
      </c>
      <c r="P103">
        <v>64884.598141197101</v>
      </c>
      <c r="R103">
        <v>8759.0059999999994</v>
      </c>
      <c r="S103">
        <v>401008.52379755903</v>
      </c>
      <c r="T103">
        <v>42357.879931504802</v>
      </c>
      <c r="U103">
        <v>586038.90403728804</v>
      </c>
      <c r="V103">
        <v>142672.50030822301</v>
      </c>
      <c r="X103">
        <v>8759.0059999999994</v>
      </c>
      <c r="Y103">
        <v>56392.181572631198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9D36-87D3-493D-BB6A-ADA1C325E88A}">
  <dimension ref="B2:V102"/>
  <sheetViews>
    <sheetView workbookViewId="0">
      <selection activeCell="B6" sqref="B6"/>
    </sheetView>
  </sheetViews>
  <sheetFormatPr defaultRowHeight="15" x14ac:dyDescent="0.25"/>
  <cols>
    <col min="8" max="8" width="25.140625" customWidth="1"/>
    <col min="9" max="9" width="25" customWidth="1"/>
    <col min="10" max="10" width="20.140625" customWidth="1"/>
    <col min="14" max="14" width="20.140625" customWidth="1"/>
    <col min="15" max="15" width="22.85546875" customWidth="1"/>
    <col min="16" max="16" width="23.5703125" customWidth="1"/>
  </cols>
  <sheetData>
    <row r="2" spans="2:22" x14ac:dyDescent="0.25">
      <c r="B2" t="s">
        <v>68</v>
      </c>
      <c r="H2" t="s">
        <v>62</v>
      </c>
      <c r="I2" t="s">
        <v>63</v>
      </c>
      <c r="J2" t="s">
        <v>64</v>
      </c>
      <c r="N2" t="s">
        <v>39</v>
      </c>
      <c r="O2" t="s">
        <v>40</v>
      </c>
      <c r="P2" t="s">
        <v>41</v>
      </c>
      <c r="Q2" t="s">
        <v>61</v>
      </c>
      <c r="V2" t="s">
        <v>42</v>
      </c>
    </row>
    <row r="3" spans="2:22" x14ac:dyDescent="0.25">
      <c r="B3" t="s">
        <v>90</v>
      </c>
      <c r="G3">
        <v>8684.0059999999994</v>
      </c>
      <c r="H3">
        <v>22908.122185889799</v>
      </c>
      <c r="I3">
        <v>155173.088465218</v>
      </c>
      <c r="J3">
        <v>232759.63269782701</v>
      </c>
      <c r="M3">
        <v>8684.0059999999994</v>
      </c>
      <c r="N3">
        <v>143381.170949227</v>
      </c>
      <c r="O3">
        <v>181567.59873286501</v>
      </c>
      <c r="P3">
        <v>466399.75855196</v>
      </c>
      <c r="Q3">
        <v>141450.988869867</v>
      </c>
      <c r="U3">
        <v>8684.0059999999994</v>
      </c>
      <c r="V3">
        <v>-76644.630977244102</v>
      </c>
    </row>
    <row r="4" spans="2:22" x14ac:dyDescent="0.25">
      <c r="B4" t="s">
        <v>257</v>
      </c>
      <c r="G4">
        <v>8685.0059999999994</v>
      </c>
      <c r="H4">
        <v>22908.122185889799</v>
      </c>
      <c r="I4">
        <v>155173.088465218</v>
      </c>
      <c r="J4">
        <v>232759.63269782701</v>
      </c>
      <c r="M4">
        <v>8685.0059999999994</v>
      </c>
      <c r="N4">
        <v>143410.874949227</v>
      </c>
      <c r="O4">
        <v>181588.504732865</v>
      </c>
      <c r="P4">
        <v>466466.65455196</v>
      </c>
      <c r="Q4">
        <v>141467.27586986701</v>
      </c>
      <c r="U4">
        <v>8685.0059999999994</v>
      </c>
      <c r="V4">
        <v>-76639.658977244093</v>
      </c>
    </row>
    <row r="5" spans="2:22" x14ac:dyDescent="0.25">
      <c r="B5" t="s">
        <v>256</v>
      </c>
      <c r="G5">
        <v>8686.0059999999994</v>
      </c>
      <c r="H5">
        <v>22908.122185889799</v>
      </c>
      <c r="I5">
        <v>155173.088465218</v>
      </c>
      <c r="J5">
        <v>232759.63269782701</v>
      </c>
      <c r="M5">
        <v>8686.0059999999994</v>
      </c>
      <c r="N5">
        <v>143429.05794922699</v>
      </c>
      <c r="O5">
        <v>181609.41073286501</v>
      </c>
      <c r="P5">
        <v>466522.03055195999</v>
      </c>
      <c r="Q5">
        <v>141483.56286986699</v>
      </c>
      <c r="U5">
        <v>8686.0059999999994</v>
      </c>
      <c r="V5">
        <v>-76636.520977244101</v>
      </c>
    </row>
    <row r="6" spans="2:22" x14ac:dyDescent="0.25">
      <c r="B6" t="s">
        <v>261</v>
      </c>
      <c r="G6">
        <v>8687.0059999999994</v>
      </c>
      <c r="H6">
        <v>22908.122185889799</v>
      </c>
      <c r="I6">
        <v>155173.11746521801</v>
      </c>
      <c r="J6">
        <v>232759.67569782701</v>
      </c>
      <c r="M6">
        <v>8687.0059999999994</v>
      </c>
      <c r="N6">
        <v>143442.80094922701</v>
      </c>
      <c r="O6">
        <v>181630.316732865</v>
      </c>
      <c r="P6">
        <v>466572.96655195998</v>
      </c>
      <c r="Q6">
        <v>141499.84886986701</v>
      </c>
      <c r="U6">
        <v>8687.0059999999994</v>
      </c>
      <c r="V6">
        <v>-76633.374977244093</v>
      </c>
    </row>
    <row r="7" spans="2:22" x14ac:dyDescent="0.25">
      <c r="B7" t="s">
        <v>82</v>
      </c>
      <c r="G7">
        <v>8688.0059999999994</v>
      </c>
      <c r="H7">
        <v>22908.122185889799</v>
      </c>
      <c r="I7">
        <v>155173.11746521801</v>
      </c>
      <c r="J7">
        <v>232759.67569782701</v>
      </c>
      <c r="M7">
        <v>8688.0059999999994</v>
      </c>
      <c r="N7">
        <v>143458.31894922699</v>
      </c>
      <c r="O7">
        <v>181651.22273286499</v>
      </c>
      <c r="P7">
        <v>466625.67655196</v>
      </c>
      <c r="Q7">
        <v>141516.13586986699</v>
      </c>
      <c r="U7">
        <v>8688.0059999999994</v>
      </c>
      <c r="V7">
        <v>-76629.1569772441</v>
      </c>
    </row>
    <row r="8" spans="2:22" x14ac:dyDescent="0.25">
      <c r="B8" t="s">
        <v>248</v>
      </c>
      <c r="G8">
        <v>8689.0059999999994</v>
      </c>
      <c r="H8">
        <v>22908.122185889799</v>
      </c>
      <c r="I8">
        <v>155173.11746521801</v>
      </c>
      <c r="J8">
        <v>232759.67569782701</v>
      </c>
      <c r="M8">
        <v>8689.0059999999994</v>
      </c>
      <c r="N8">
        <v>143474.20694922699</v>
      </c>
      <c r="O8">
        <v>181672.12773286499</v>
      </c>
      <c r="P8">
        <v>466678.75855196</v>
      </c>
      <c r="Q8">
        <v>141532.422869867</v>
      </c>
      <c r="U8">
        <v>8689.0059999999994</v>
      </c>
      <c r="V8">
        <v>-76624.665977244105</v>
      </c>
    </row>
    <row r="9" spans="2:22" x14ac:dyDescent="0.25">
      <c r="B9" t="s">
        <v>86</v>
      </c>
      <c r="G9">
        <v>8690.0059999999994</v>
      </c>
      <c r="H9">
        <v>22908.122185889799</v>
      </c>
      <c r="I9">
        <v>155173.11746521801</v>
      </c>
      <c r="J9">
        <v>232759.67569782701</v>
      </c>
      <c r="M9">
        <v>8690.0059999999994</v>
      </c>
      <c r="N9">
        <v>143491.841949227</v>
      </c>
      <c r="O9">
        <v>181693.03373286501</v>
      </c>
      <c r="P9">
        <v>466733.58555195999</v>
      </c>
      <c r="Q9">
        <v>141548.70986986699</v>
      </c>
      <c r="U9">
        <v>8690.0059999999994</v>
      </c>
      <c r="V9">
        <v>-76619.610977244098</v>
      </c>
    </row>
    <row r="10" spans="2:22" x14ac:dyDescent="0.25">
      <c r="B10" t="s">
        <v>262</v>
      </c>
      <c r="G10">
        <v>8691.0059999999994</v>
      </c>
      <c r="H10">
        <v>22908.122185889799</v>
      </c>
      <c r="I10">
        <v>155173.11746521801</v>
      </c>
      <c r="J10">
        <v>232759.67569782701</v>
      </c>
      <c r="M10">
        <v>8691.0059999999994</v>
      </c>
      <c r="N10">
        <v>143512.63394922699</v>
      </c>
      <c r="O10">
        <v>181713.93973286499</v>
      </c>
      <c r="P10">
        <v>466791.57055195997</v>
      </c>
      <c r="Q10">
        <v>141564.996869867</v>
      </c>
      <c r="U10">
        <v>8691.0059999999994</v>
      </c>
      <c r="V10">
        <v>-76612.796977244099</v>
      </c>
    </row>
    <row r="11" spans="2:22" x14ac:dyDescent="0.25">
      <c r="B11" t="s">
        <v>263</v>
      </c>
      <c r="G11">
        <v>8692.0059999999994</v>
      </c>
      <c r="H11">
        <v>22908.122185889799</v>
      </c>
      <c r="I11">
        <v>155173.11746521801</v>
      </c>
      <c r="J11">
        <v>232759.67569782701</v>
      </c>
      <c r="M11">
        <v>8692.0059999999994</v>
      </c>
      <c r="N11">
        <v>143535.12894922699</v>
      </c>
      <c r="O11">
        <v>181734.84573286501</v>
      </c>
      <c r="P11">
        <v>466851.25855196</v>
      </c>
      <c r="Q11">
        <v>141581.28386986701</v>
      </c>
      <c r="U11">
        <v>8692.0059999999994</v>
      </c>
      <c r="V11">
        <v>-76604.878977244094</v>
      </c>
    </row>
    <row r="12" spans="2:22" x14ac:dyDescent="0.25">
      <c r="B12" t="s">
        <v>258</v>
      </c>
      <c r="G12">
        <v>8693.0059999999994</v>
      </c>
      <c r="H12">
        <v>22908.122185889799</v>
      </c>
      <c r="I12">
        <v>155173.11746521801</v>
      </c>
      <c r="J12">
        <v>232759.67569782701</v>
      </c>
      <c r="M12">
        <v>8693.0059999999994</v>
      </c>
      <c r="N12">
        <v>143565.22994922701</v>
      </c>
      <c r="O12">
        <v>181755.751732865</v>
      </c>
      <c r="P12">
        <v>466918.55155196</v>
      </c>
      <c r="Q12">
        <v>141597.569869867</v>
      </c>
      <c r="U12">
        <v>8693.0059999999994</v>
      </c>
      <c r="V12">
        <v>-76594.501977244101</v>
      </c>
    </row>
    <row r="13" spans="2:22" x14ac:dyDescent="0.25">
      <c r="B13" t="s">
        <v>92</v>
      </c>
      <c r="G13">
        <v>8694.0059999999994</v>
      </c>
      <c r="H13">
        <v>22908.122185889799</v>
      </c>
      <c r="I13">
        <v>155173.11746521801</v>
      </c>
      <c r="J13">
        <v>232759.67569782701</v>
      </c>
      <c r="M13">
        <v>8694.0059999999994</v>
      </c>
      <c r="N13">
        <v>143612.41994922701</v>
      </c>
      <c r="O13">
        <v>181776.65773286499</v>
      </c>
      <c r="P13">
        <v>467002.93455195997</v>
      </c>
      <c r="Q13">
        <v>141613.85686986701</v>
      </c>
      <c r="U13">
        <v>8694.0059999999994</v>
      </c>
      <c r="V13">
        <v>-76576.757977244095</v>
      </c>
    </row>
    <row r="14" spans="2:22" x14ac:dyDescent="0.25">
      <c r="B14" t="s">
        <v>94</v>
      </c>
      <c r="G14">
        <v>8695.0059999999994</v>
      </c>
      <c r="H14">
        <v>22908.122185889799</v>
      </c>
      <c r="I14">
        <v>155173.11746521801</v>
      </c>
      <c r="J14">
        <v>232759.67569782701</v>
      </c>
      <c r="M14">
        <v>8695.0059999999994</v>
      </c>
      <c r="N14">
        <v>143674.67994922699</v>
      </c>
      <c r="O14">
        <v>181797.563732865</v>
      </c>
      <c r="P14">
        <v>467102.38655196002</v>
      </c>
      <c r="Q14">
        <v>141630.143869867</v>
      </c>
      <c r="U14">
        <v>8695.0059999999994</v>
      </c>
      <c r="V14">
        <v>-76551.739977244099</v>
      </c>
    </row>
    <row r="15" spans="2:22" x14ac:dyDescent="0.25">
      <c r="B15" t="s">
        <v>96</v>
      </c>
      <c r="G15">
        <v>8696.0059999999994</v>
      </c>
      <c r="H15">
        <v>22908.122185889799</v>
      </c>
      <c r="I15">
        <v>155173.11746521801</v>
      </c>
      <c r="J15">
        <v>232759.67569782701</v>
      </c>
      <c r="M15">
        <v>8696.0059999999994</v>
      </c>
      <c r="N15">
        <v>143747.28094922699</v>
      </c>
      <c r="O15">
        <v>181818.46973286499</v>
      </c>
      <c r="P15">
        <v>467212.18055196002</v>
      </c>
      <c r="Q15">
        <v>141646.43086986701</v>
      </c>
      <c r="U15">
        <v>8696.0059999999994</v>
      </c>
      <c r="V15">
        <v>-76522.793977244102</v>
      </c>
    </row>
    <row r="16" spans="2:22" x14ac:dyDescent="0.25">
      <c r="B16" t="s">
        <v>98</v>
      </c>
      <c r="G16">
        <v>8697.0059999999994</v>
      </c>
      <c r="H16">
        <v>22908.122185889799</v>
      </c>
      <c r="I16">
        <v>155173.270465218</v>
      </c>
      <c r="J16">
        <v>232759.90569782699</v>
      </c>
      <c r="M16">
        <v>8697.0059999999994</v>
      </c>
      <c r="N16">
        <v>143823.55094922701</v>
      </c>
      <c r="O16">
        <v>181839.37473286499</v>
      </c>
      <c r="P16">
        <v>467325.64355196001</v>
      </c>
      <c r="Q16">
        <v>141662.71786986699</v>
      </c>
      <c r="U16">
        <v>8697.0059999999994</v>
      </c>
      <c r="V16">
        <v>-76494.846977244102</v>
      </c>
    </row>
    <row r="17" spans="2:22" x14ac:dyDescent="0.25">
      <c r="B17" t="s">
        <v>100</v>
      </c>
      <c r="G17">
        <v>8698.0059999999994</v>
      </c>
      <c r="H17">
        <v>22908.122185889799</v>
      </c>
      <c r="I17">
        <v>155178.99146521799</v>
      </c>
      <c r="J17">
        <v>232768.48769782699</v>
      </c>
      <c r="M17">
        <v>8698.0059999999994</v>
      </c>
      <c r="N17">
        <v>143858.260949227</v>
      </c>
      <c r="O17">
        <v>181860.28073286501</v>
      </c>
      <c r="P17">
        <v>467397.54655196</v>
      </c>
      <c r="Q17">
        <v>141679.00386986701</v>
      </c>
      <c r="U17">
        <v>8698.0059999999994</v>
      </c>
      <c r="V17">
        <v>-76490.642977244104</v>
      </c>
    </row>
    <row r="18" spans="2:22" x14ac:dyDescent="0.25">
      <c r="B18" t="s">
        <v>102</v>
      </c>
      <c r="G18">
        <v>8699.0059999999994</v>
      </c>
      <c r="H18">
        <v>22908.122185889799</v>
      </c>
      <c r="I18">
        <v>155190.03046521801</v>
      </c>
      <c r="J18">
        <v>232785.04469782699</v>
      </c>
      <c r="M18">
        <v>8699.0059999999994</v>
      </c>
      <c r="N18">
        <v>143875.301949227</v>
      </c>
      <c r="O18">
        <v>181881.186732865</v>
      </c>
      <c r="P18">
        <v>467451.77955196</v>
      </c>
      <c r="Q18">
        <v>141695.29086986699</v>
      </c>
      <c r="U18">
        <v>8699.0059999999994</v>
      </c>
      <c r="V18">
        <v>-76501.411977244104</v>
      </c>
    </row>
    <row r="19" spans="2:22" x14ac:dyDescent="0.25">
      <c r="B19" t="s">
        <v>104</v>
      </c>
      <c r="G19">
        <v>8700.0059999999994</v>
      </c>
      <c r="H19">
        <v>22908.122185889799</v>
      </c>
      <c r="I19">
        <v>155200.039465218</v>
      </c>
      <c r="J19">
        <v>232800.05869782699</v>
      </c>
      <c r="M19">
        <v>8700.0059999999994</v>
      </c>
      <c r="N19">
        <v>143875.382949227</v>
      </c>
      <c r="O19">
        <v>181902.09273286501</v>
      </c>
      <c r="P19">
        <v>467489.05355195998</v>
      </c>
      <c r="Q19">
        <v>141711.577869867</v>
      </c>
      <c r="U19">
        <v>8700.0059999999994</v>
      </c>
      <c r="V19">
        <v>-76517.038977244098</v>
      </c>
    </row>
    <row r="20" spans="2:22" x14ac:dyDescent="0.25">
      <c r="B20" t="s">
        <v>106</v>
      </c>
      <c r="G20">
        <v>8701.0059999999994</v>
      </c>
      <c r="H20">
        <v>22908.122185889799</v>
      </c>
      <c r="I20">
        <v>155205.61646521799</v>
      </c>
      <c r="J20">
        <v>232808.42469782699</v>
      </c>
      <c r="M20">
        <v>8701.0059999999994</v>
      </c>
      <c r="N20">
        <v>143885.56994922701</v>
      </c>
      <c r="O20">
        <v>181922.998732865</v>
      </c>
      <c r="P20">
        <v>467536.43355195998</v>
      </c>
      <c r="Q20">
        <v>141727.86486986699</v>
      </c>
      <c r="U20">
        <v>8701.0059999999994</v>
      </c>
      <c r="V20">
        <v>-76521.507977244095</v>
      </c>
    </row>
    <row r="21" spans="2:22" x14ac:dyDescent="0.25">
      <c r="B21" t="s">
        <v>108</v>
      </c>
      <c r="G21">
        <v>8702.0059999999994</v>
      </c>
      <c r="H21">
        <v>22908.122185889799</v>
      </c>
      <c r="I21">
        <v>155206.18646521799</v>
      </c>
      <c r="J21">
        <v>232809.27969782701</v>
      </c>
      <c r="M21">
        <v>8702.0059999999994</v>
      </c>
      <c r="N21">
        <v>143918.379949227</v>
      </c>
      <c r="O21">
        <v>181943.90473286499</v>
      </c>
      <c r="P21">
        <v>467606.43655196001</v>
      </c>
      <c r="Q21">
        <v>141744.151869867</v>
      </c>
      <c r="U21">
        <v>8702.0059999999994</v>
      </c>
      <c r="V21">
        <v>-76511.295977244095</v>
      </c>
    </row>
    <row r="22" spans="2:22" x14ac:dyDescent="0.25">
      <c r="B22" t="s">
        <v>110</v>
      </c>
      <c r="G22">
        <v>8703.0059999999994</v>
      </c>
      <c r="H22">
        <v>22908.122185889799</v>
      </c>
      <c r="I22">
        <v>155206.18646521799</v>
      </c>
      <c r="J22">
        <v>232809.27969782701</v>
      </c>
      <c r="M22">
        <v>8703.0059999999994</v>
      </c>
      <c r="N22">
        <v>143975.195949227</v>
      </c>
      <c r="O22">
        <v>181964.81073286501</v>
      </c>
      <c r="P22">
        <v>467700.44555195997</v>
      </c>
      <c r="Q22">
        <v>141760.43786986699</v>
      </c>
      <c r="U22">
        <v>8703.0059999999994</v>
      </c>
      <c r="V22">
        <v>-76495.181977244094</v>
      </c>
    </row>
    <row r="23" spans="2:22" x14ac:dyDescent="0.25">
      <c r="B23" t="s">
        <v>112</v>
      </c>
      <c r="G23">
        <v>8704.0059999999994</v>
      </c>
      <c r="H23">
        <v>22908.122185889799</v>
      </c>
      <c r="I23">
        <v>155206.18646521799</v>
      </c>
      <c r="J23">
        <v>232809.27969782701</v>
      </c>
      <c r="M23">
        <v>8704.0059999999994</v>
      </c>
      <c r="N23">
        <v>144050.504949227</v>
      </c>
      <c r="O23">
        <v>181985.716732865</v>
      </c>
      <c r="P23">
        <v>467812.94655196002</v>
      </c>
      <c r="Q23">
        <v>141776.724869867</v>
      </c>
      <c r="U23">
        <v>8704.0059999999994</v>
      </c>
      <c r="V23">
        <v>-76477.093977244105</v>
      </c>
    </row>
    <row r="24" spans="2:22" x14ac:dyDescent="0.25">
      <c r="B24" t="s">
        <v>114</v>
      </c>
      <c r="G24">
        <v>8705.0059999999994</v>
      </c>
      <c r="H24">
        <v>22908.122185889799</v>
      </c>
      <c r="I24">
        <v>155206.18646521799</v>
      </c>
      <c r="J24">
        <v>232809.27969782701</v>
      </c>
      <c r="M24">
        <v>8705.0059999999994</v>
      </c>
      <c r="N24">
        <v>144150.947949227</v>
      </c>
      <c r="O24">
        <v>182006.62273286501</v>
      </c>
      <c r="P24">
        <v>467950.58255196002</v>
      </c>
      <c r="Q24">
        <v>141793.01186986701</v>
      </c>
      <c r="U24">
        <v>8705.0059999999994</v>
      </c>
      <c r="V24">
        <v>-76454.132977244095</v>
      </c>
    </row>
    <row r="25" spans="2:22" x14ac:dyDescent="0.25">
      <c r="G25">
        <v>8706.0059999999994</v>
      </c>
      <c r="H25">
        <v>22908.122185889799</v>
      </c>
      <c r="I25">
        <v>155206.18646521799</v>
      </c>
      <c r="J25">
        <v>232809.27969782701</v>
      </c>
      <c r="M25">
        <v>8706.0059999999994</v>
      </c>
      <c r="N25">
        <v>144251.88694922699</v>
      </c>
      <c r="O25">
        <v>182027.52773286501</v>
      </c>
      <c r="P25">
        <v>468088.71355196001</v>
      </c>
      <c r="Q25">
        <v>141809.29886986699</v>
      </c>
      <c r="U25">
        <v>8706.0059999999994</v>
      </c>
      <c r="V25">
        <v>-76434.418977244102</v>
      </c>
    </row>
    <row r="26" spans="2:22" x14ac:dyDescent="0.25">
      <c r="G26">
        <v>8707.0059999999994</v>
      </c>
      <c r="H26">
        <v>22908.122185889799</v>
      </c>
      <c r="I26">
        <v>155206.18646521799</v>
      </c>
      <c r="J26">
        <v>232809.27969782701</v>
      </c>
      <c r="M26">
        <v>8707.0059999999994</v>
      </c>
      <c r="N26">
        <v>144312.05094922701</v>
      </c>
      <c r="O26">
        <v>182048.433732865</v>
      </c>
      <c r="P26">
        <v>468186.07055195997</v>
      </c>
      <c r="Q26">
        <v>141825.58586986701</v>
      </c>
      <c r="U26">
        <v>8707.0059999999994</v>
      </c>
      <c r="V26">
        <v>-76423.342977244101</v>
      </c>
    </row>
    <row r="27" spans="2:22" x14ac:dyDescent="0.25">
      <c r="G27">
        <v>8708.0059999999994</v>
      </c>
      <c r="H27">
        <v>22908.122185889799</v>
      </c>
      <c r="I27">
        <v>155206.18646521799</v>
      </c>
      <c r="J27">
        <v>232809.27969782701</v>
      </c>
      <c r="M27">
        <v>8708.0059999999994</v>
      </c>
      <c r="N27">
        <v>144348.10794922701</v>
      </c>
      <c r="O27">
        <v>182069.33973286499</v>
      </c>
      <c r="P27">
        <v>468259.32055195997</v>
      </c>
      <c r="Q27">
        <v>141841.87286986699</v>
      </c>
      <c r="U27">
        <v>8708.0059999999994</v>
      </c>
      <c r="V27">
        <v>-76416.234977244094</v>
      </c>
    </row>
    <row r="28" spans="2:22" x14ac:dyDescent="0.25">
      <c r="G28">
        <v>8709.0059999999994</v>
      </c>
      <c r="H28">
        <v>22908.122185889799</v>
      </c>
      <c r="I28">
        <v>155206.18646521799</v>
      </c>
      <c r="J28">
        <v>232809.27969782701</v>
      </c>
      <c r="M28">
        <v>8709.0059999999994</v>
      </c>
      <c r="N28">
        <v>144365.62094922701</v>
      </c>
      <c r="O28">
        <v>182090.24573286501</v>
      </c>
      <c r="P28">
        <v>468314.02655195998</v>
      </c>
      <c r="Q28">
        <v>141858.15886986701</v>
      </c>
      <c r="U28">
        <v>8709.0059999999994</v>
      </c>
      <c r="V28">
        <v>-76412.832977244107</v>
      </c>
    </row>
    <row r="29" spans="2:22" x14ac:dyDescent="0.25">
      <c r="G29">
        <v>8710.0059999999994</v>
      </c>
      <c r="H29">
        <v>22908.122185889799</v>
      </c>
      <c r="I29">
        <v>155206.18646521799</v>
      </c>
      <c r="J29">
        <v>232809.27969782701</v>
      </c>
      <c r="M29">
        <v>8710.0059999999994</v>
      </c>
      <c r="N29">
        <v>144375.16994922701</v>
      </c>
      <c r="O29">
        <v>182111.15173286499</v>
      </c>
      <c r="P29">
        <v>468360.76755196002</v>
      </c>
      <c r="Q29">
        <v>141874.44586986699</v>
      </c>
      <c r="U29">
        <v>8710.0059999999994</v>
      </c>
      <c r="V29">
        <v>-76411.079977244095</v>
      </c>
    </row>
    <row r="30" spans="2:22" x14ac:dyDescent="0.25">
      <c r="G30">
        <v>8711.0059999999994</v>
      </c>
      <c r="H30">
        <v>22908.727185889798</v>
      </c>
      <c r="I30">
        <v>155206.18646521799</v>
      </c>
      <c r="J30">
        <v>232809.27969782701</v>
      </c>
      <c r="M30">
        <v>8711.0059999999994</v>
      </c>
      <c r="N30">
        <v>144375.16994922701</v>
      </c>
      <c r="O30">
        <v>182132.05773286501</v>
      </c>
      <c r="P30">
        <v>468397.96055195999</v>
      </c>
      <c r="Q30">
        <v>141890.732869867</v>
      </c>
      <c r="U30">
        <v>8711.0059999999994</v>
      </c>
      <c r="V30">
        <v>-76411.633977244099</v>
      </c>
    </row>
    <row r="31" spans="2:22" x14ac:dyDescent="0.25">
      <c r="G31">
        <v>8712.0059999999994</v>
      </c>
      <c r="H31">
        <v>22912.280185889798</v>
      </c>
      <c r="I31">
        <v>155206.18646521799</v>
      </c>
      <c r="J31">
        <v>232809.27969782701</v>
      </c>
      <c r="M31">
        <v>8712.0059999999994</v>
      </c>
      <c r="N31">
        <v>144375.16994922701</v>
      </c>
      <c r="O31">
        <v>182152.963732865</v>
      </c>
      <c r="P31">
        <v>468435.15355196001</v>
      </c>
      <c r="Q31">
        <v>141907.01986986701</v>
      </c>
      <c r="U31">
        <v>8712.0059999999994</v>
      </c>
      <c r="V31">
        <v>-76414.207977244107</v>
      </c>
    </row>
    <row r="32" spans="2:22" x14ac:dyDescent="0.25">
      <c r="G32">
        <v>8713.0059999999994</v>
      </c>
      <c r="H32">
        <v>22917.509185889801</v>
      </c>
      <c r="I32">
        <v>155206.18646521799</v>
      </c>
      <c r="J32">
        <v>232809.27969782701</v>
      </c>
      <c r="M32">
        <v>8713.0059999999994</v>
      </c>
      <c r="N32">
        <v>144375.16994922701</v>
      </c>
      <c r="O32">
        <v>182173.86973286499</v>
      </c>
      <c r="P32">
        <v>468472.34555196</v>
      </c>
      <c r="Q32">
        <v>141923.306869867</v>
      </c>
      <c r="U32">
        <v>8713.0059999999994</v>
      </c>
      <c r="V32">
        <v>-76417.652977244099</v>
      </c>
    </row>
    <row r="33" spans="7:22" x14ac:dyDescent="0.25">
      <c r="G33">
        <v>8714.0059999999994</v>
      </c>
      <c r="H33">
        <v>22923.313185889801</v>
      </c>
      <c r="I33">
        <v>155206.18646521799</v>
      </c>
      <c r="J33">
        <v>232809.27969782701</v>
      </c>
      <c r="M33">
        <v>8714.0059999999994</v>
      </c>
      <c r="N33">
        <v>144375.16994922701</v>
      </c>
      <c r="O33">
        <v>182194.775732865</v>
      </c>
      <c r="P33">
        <v>468509.53855196002</v>
      </c>
      <c r="Q33">
        <v>141939.59286986699</v>
      </c>
      <c r="U33">
        <v>8714.0059999999994</v>
      </c>
      <c r="V33">
        <v>-76421.647977244094</v>
      </c>
    </row>
    <row r="34" spans="7:22" x14ac:dyDescent="0.25">
      <c r="G34">
        <v>8715.0059999999994</v>
      </c>
      <c r="H34">
        <v>22929.962185889799</v>
      </c>
      <c r="I34">
        <v>155206.18646521799</v>
      </c>
      <c r="J34">
        <v>232809.27969782701</v>
      </c>
      <c r="M34">
        <v>8715.0059999999994</v>
      </c>
      <c r="N34">
        <v>144375.16994922701</v>
      </c>
      <c r="O34">
        <v>182215.680732865</v>
      </c>
      <c r="P34">
        <v>468546.73155195999</v>
      </c>
      <c r="Q34">
        <v>141955.879869867</v>
      </c>
      <c r="U34">
        <v>8715.0059999999994</v>
      </c>
      <c r="V34">
        <v>-76426.850977244103</v>
      </c>
    </row>
    <row r="35" spans="7:22" x14ac:dyDescent="0.25">
      <c r="G35">
        <v>8716.0059999999994</v>
      </c>
      <c r="H35">
        <v>22937.113185889801</v>
      </c>
      <c r="I35">
        <v>155206.18646521799</v>
      </c>
      <c r="J35">
        <v>232809.27969782701</v>
      </c>
      <c r="M35">
        <v>8716.0059999999994</v>
      </c>
      <c r="N35">
        <v>144375.16994922701</v>
      </c>
      <c r="O35">
        <v>182236.58673286499</v>
      </c>
      <c r="P35">
        <v>468583.92355195998</v>
      </c>
      <c r="Q35">
        <v>141972.16686986701</v>
      </c>
      <c r="U35">
        <v>8716.0059999999994</v>
      </c>
      <c r="V35">
        <v>-76431.698977244101</v>
      </c>
    </row>
    <row r="36" spans="7:22" x14ac:dyDescent="0.25">
      <c r="G36">
        <v>8717.0059999999994</v>
      </c>
      <c r="H36">
        <v>22944.070185889799</v>
      </c>
      <c r="I36">
        <v>155206.19746521799</v>
      </c>
      <c r="J36">
        <v>232809.29569782701</v>
      </c>
      <c r="M36">
        <v>8717.0059999999994</v>
      </c>
      <c r="N36">
        <v>144375.15894922701</v>
      </c>
      <c r="O36">
        <v>182257.49273286501</v>
      </c>
      <c r="P36">
        <v>468621.10555196</v>
      </c>
      <c r="Q36">
        <v>141988.45386986699</v>
      </c>
      <c r="U36">
        <v>8717.0059999999994</v>
      </c>
      <c r="V36">
        <v>-76436.128977244094</v>
      </c>
    </row>
    <row r="37" spans="7:22" x14ac:dyDescent="0.25">
      <c r="G37">
        <v>8718.0059999999994</v>
      </c>
      <c r="H37">
        <v>22949.6831858898</v>
      </c>
      <c r="I37">
        <v>155206.19746521799</v>
      </c>
      <c r="J37">
        <v>232809.29569782701</v>
      </c>
      <c r="M37">
        <v>8718.0059999999994</v>
      </c>
      <c r="N37">
        <v>144375.15894922701</v>
      </c>
      <c r="O37">
        <v>182278.398732865</v>
      </c>
      <c r="P37">
        <v>468658.29855195998</v>
      </c>
      <c r="Q37">
        <v>142004.740869867</v>
      </c>
      <c r="U37">
        <v>8718.0059999999994</v>
      </c>
      <c r="V37">
        <v>-76440.026977244095</v>
      </c>
    </row>
    <row r="38" spans="7:22" x14ac:dyDescent="0.25">
      <c r="G38">
        <v>8719.0059999999994</v>
      </c>
      <c r="H38">
        <v>22954.105185889799</v>
      </c>
      <c r="I38">
        <v>155206.21446521801</v>
      </c>
      <c r="J38">
        <v>232809.32169782699</v>
      </c>
      <c r="M38">
        <v>8719.0059999999994</v>
      </c>
      <c r="N38">
        <v>144375.14194922699</v>
      </c>
      <c r="O38">
        <v>182299.30473286501</v>
      </c>
      <c r="P38">
        <v>468695.47355196002</v>
      </c>
      <c r="Q38">
        <v>142021.02786986699</v>
      </c>
      <c r="U38">
        <v>8719.0059999999994</v>
      </c>
      <c r="V38">
        <v>-76443.810977244095</v>
      </c>
    </row>
    <row r="39" spans="7:22" x14ac:dyDescent="0.25">
      <c r="G39">
        <v>8720.0059999999994</v>
      </c>
      <c r="H39">
        <v>22955.756185889801</v>
      </c>
      <c r="I39">
        <v>155206.21446521801</v>
      </c>
      <c r="J39">
        <v>232809.32169782699</v>
      </c>
      <c r="M39">
        <v>8720.0059999999994</v>
      </c>
      <c r="N39">
        <v>144375.14194922699</v>
      </c>
      <c r="O39">
        <v>182320.210732865</v>
      </c>
      <c r="P39">
        <v>468732.66655195999</v>
      </c>
      <c r="Q39">
        <v>142037.31386986701</v>
      </c>
      <c r="U39">
        <v>8720.0059999999994</v>
      </c>
      <c r="V39">
        <v>-76445.411977244104</v>
      </c>
    </row>
    <row r="40" spans="7:22" x14ac:dyDescent="0.25">
      <c r="G40">
        <v>8721.0059999999994</v>
      </c>
      <c r="H40">
        <v>22956.8241858898</v>
      </c>
      <c r="I40">
        <v>155206.21446521801</v>
      </c>
      <c r="J40">
        <v>232809.32169782699</v>
      </c>
      <c r="M40">
        <v>8721.0059999999994</v>
      </c>
      <c r="N40">
        <v>144375.14194922699</v>
      </c>
      <c r="O40">
        <v>182341.11673286499</v>
      </c>
      <c r="P40">
        <v>468769.85955196002</v>
      </c>
      <c r="Q40">
        <v>142053.60086986699</v>
      </c>
      <c r="U40">
        <v>8721.0059999999994</v>
      </c>
      <c r="V40">
        <v>-76446.430977244105</v>
      </c>
    </row>
    <row r="41" spans="7:22" x14ac:dyDescent="0.25">
      <c r="G41">
        <v>8722.0059999999994</v>
      </c>
      <c r="H41">
        <v>22960.5761858898</v>
      </c>
      <c r="I41">
        <v>155206.251465218</v>
      </c>
      <c r="J41">
        <v>232809.37669782701</v>
      </c>
      <c r="M41">
        <v>8722.0059999999994</v>
      </c>
      <c r="N41">
        <v>144375.105949227</v>
      </c>
      <c r="O41">
        <v>182362.02273286501</v>
      </c>
      <c r="P41">
        <v>468807.01555195998</v>
      </c>
      <c r="Q41">
        <v>142069.887869867</v>
      </c>
      <c r="U41">
        <v>8722.0059999999994</v>
      </c>
      <c r="V41">
        <v>-76449.974977244099</v>
      </c>
    </row>
    <row r="42" spans="7:22" x14ac:dyDescent="0.25">
      <c r="G42">
        <v>8723.0059999999994</v>
      </c>
      <c r="H42">
        <v>22965.2511858898</v>
      </c>
      <c r="I42">
        <v>155206.45346521799</v>
      </c>
      <c r="J42">
        <v>232809.679697827</v>
      </c>
      <c r="M42">
        <v>8723.0059999999994</v>
      </c>
      <c r="N42">
        <v>144374.90294922699</v>
      </c>
      <c r="O42">
        <v>182382.92773286501</v>
      </c>
      <c r="P42">
        <v>468844.00655196002</v>
      </c>
      <c r="Q42">
        <v>142086.17486986701</v>
      </c>
      <c r="U42">
        <v>8723.0059999999994</v>
      </c>
      <c r="V42">
        <v>-76454.636977244096</v>
      </c>
    </row>
    <row r="43" spans="7:22" x14ac:dyDescent="0.25">
      <c r="G43">
        <v>8724.0059999999994</v>
      </c>
      <c r="H43">
        <v>22969.9501858898</v>
      </c>
      <c r="I43">
        <v>155207.15946521799</v>
      </c>
      <c r="J43">
        <v>232810.739697827</v>
      </c>
      <c r="M43">
        <v>8724.0059999999994</v>
      </c>
      <c r="N43">
        <v>144374.19694922699</v>
      </c>
      <c r="O43">
        <v>182403.83373286499</v>
      </c>
      <c r="P43">
        <v>468880.49255195999</v>
      </c>
      <c r="Q43">
        <v>142102.46186986699</v>
      </c>
      <c r="U43">
        <v>8724.0059999999994</v>
      </c>
      <c r="V43">
        <v>-76459.892977244104</v>
      </c>
    </row>
    <row r="44" spans="7:22" x14ac:dyDescent="0.25">
      <c r="G44">
        <v>8725.0059999999994</v>
      </c>
      <c r="H44">
        <v>22973.1291858898</v>
      </c>
      <c r="I44">
        <v>155207.202465218</v>
      </c>
      <c r="J44">
        <v>232810.80369782701</v>
      </c>
      <c r="M44">
        <v>8725.0059999999994</v>
      </c>
      <c r="N44">
        <v>144374.15394922701</v>
      </c>
      <c r="O44">
        <v>182424.73973286501</v>
      </c>
      <c r="P44">
        <v>468917.64155196003</v>
      </c>
      <c r="Q44">
        <v>142118.74786986699</v>
      </c>
      <c r="U44">
        <v>8725.0059999999994</v>
      </c>
      <c r="V44">
        <v>-76463.234977244094</v>
      </c>
    </row>
    <row r="45" spans="7:22" x14ac:dyDescent="0.25">
      <c r="G45">
        <v>8726.0059999999994</v>
      </c>
      <c r="H45">
        <v>22974.531185889799</v>
      </c>
      <c r="I45">
        <v>155207.36446521801</v>
      </c>
      <c r="J45">
        <v>232811.046697827</v>
      </c>
      <c r="M45">
        <v>8726.0059999999994</v>
      </c>
      <c r="N45">
        <v>144373.991949227</v>
      </c>
      <c r="O45">
        <v>182445.645732865</v>
      </c>
      <c r="P45">
        <v>468954.67355195998</v>
      </c>
      <c r="Q45">
        <v>142135.034869867</v>
      </c>
      <c r="U45">
        <v>8726.0059999999994</v>
      </c>
      <c r="V45">
        <v>-76464.948977244101</v>
      </c>
    </row>
    <row r="46" spans="7:22" x14ac:dyDescent="0.25">
      <c r="G46">
        <v>8727.0059999999994</v>
      </c>
      <c r="H46">
        <v>22974.531185889799</v>
      </c>
      <c r="I46">
        <v>155207.36446521801</v>
      </c>
      <c r="J46">
        <v>232811.046697827</v>
      </c>
      <c r="M46">
        <v>8727.0059999999994</v>
      </c>
      <c r="N46">
        <v>144397.711949227</v>
      </c>
      <c r="O46">
        <v>182466.55173286499</v>
      </c>
      <c r="P46">
        <v>469015.58555195999</v>
      </c>
      <c r="Q46">
        <v>142151.32186986701</v>
      </c>
      <c r="U46">
        <v>8727.0059999999994</v>
      </c>
      <c r="V46">
        <v>-76458.912977244094</v>
      </c>
    </row>
    <row r="47" spans="7:22" x14ac:dyDescent="0.25">
      <c r="G47">
        <v>8728.0059999999994</v>
      </c>
      <c r="H47">
        <v>22974.531185889799</v>
      </c>
      <c r="I47">
        <v>155207.36446521801</v>
      </c>
      <c r="J47">
        <v>232811.046697827</v>
      </c>
      <c r="M47">
        <v>8728.0059999999994</v>
      </c>
      <c r="N47">
        <v>144438.17194922699</v>
      </c>
      <c r="O47">
        <v>182487.457732865</v>
      </c>
      <c r="P47">
        <v>469093.23855195998</v>
      </c>
      <c r="Q47">
        <v>142167.60886986699</v>
      </c>
      <c r="U47">
        <v>8728.0059999999994</v>
      </c>
      <c r="V47">
        <v>-76448.602977244096</v>
      </c>
    </row>
    <row r="48" spans="7:22" x14ac:dyDescent="0.25">
      <c r="G48">
        <v>8729.0059999999994</v>
      </c>
      <c r="H48">
        <v>22974.531185889799</v>
      </c>
      <c r="I48">
        <v>155207.36446521801</v>
      </c>
      <c r="J48">
        <v>232811.046697827</v>
      </c>
      <c r="M48">
        <v>8729.0059999999994</v>
      </c>
      <c r="N48">
        <v>144510.78394922701</v>
      </c>
      <c r="O48">
        <v>182508.36373286499</v>
      </c>
      <c r="P48">
        <v>469203.04355196003</v>
      </c>
      <c r="Q48">
        <v>142183.895869867</v>
      </c>
      <c r="U48">
        <v>8729.0059999999994</v>
      </c>
      <c r="V48">
        <v>-76430.059977244106</v>
      </c>
    </row>
    <row r="49" spans="7:22" x14ac:dyDescent="0.25">
      <c r="G49">
        <v>8730.0059999999994</v>
      </c>
      <c r="H49">
        <v>22974.531185889799</v>
      </c>
      <c r="I49">
        <v>155207.36446521801</v>
      </c>
      <c r="J49">
        <v>232811.046697827</v>
      </c>
      <c r="M49">
        <v>8730.0059999999994</v>
      </c>
      <c r="N49">
        <v>144575.39994922699</v>
      </c>
      <c r="O49">
        <v>182529.26973286501</v>
      </c>
      <c r="P49">
        <v>469304.85155195999</v>
      </c>
      <c r="Q49">
        <v>142200.181869867</v>
      </c>
      <c r="U49">
        <v>8730.0059999999994</v>
      </c>
      <c r="V49">
        <v>-76413.942977244107</v>
      </c>
    </row>
    <row r="50" spans="7:22" x14ac:dyDescent="0.25">
      <c r="G50">
        <v>8731.0059999999994</v>
      </c>
      <c r="H50">
        <v>22974.531185889799</v>
      </c>
      <c r="I50">
        <v>155207.36446521801</v>
      </c>
      <c r="J50">
        <v>232811.046697827</v>
      </c>
      <c r="M50">
        <v>8731.0059999999994</v>
      </c>
      <c r="N50">
        <v>144621.38494922701</v>
      </c>
      <c r="O50">
        <v>182550.175732865</v>
      </c>
      <c r="P50">
        <v>469388.02955196</v>
      </c>
      <c r="Q50">
        <v>142216.46886986701</v>
      </c>
      <c r="U50">
        <v>8731.0059999999994</v>
      </c>
      <c r="V50">
        <v>-76402.980977244093</v>
      </c>
    </row>
    <row r="51" spans="7:22" x14ac:dyDescent="0.25">
      <c r="G51">
        <v>8732.0059999999994</v>
      </c>
      <c r="H51">
        <v>22974.531185889799</v>
      </c>
      <c r="I51">
        <v>155207.36446521801</v>
      </c>
      <c r="J51">
        <v>232811.046697827</v>
      </c>
      <c r="M51">
        <v>8732.0059999999994</v>
      </c>
      <c r="N51">
        <v>144670.91094922699</v>
      </c>
      <c r="O51">
        <v>182571.080732865</v>
      </c>
      <c r="P51">
        <v>469474.74855195999</v>
      </c>
      <c r="Q51">
        <v>142232.75586986699</v>
      </c>
      <c r="U51">
        <v>8732.0059999999994</v>
      </c>
      <c r="V51">
        <v>-76393.276977244095</v>
      </c>
    </row>
    <row r="52" spans="7:22" x14ac:dyDescent="0.25">
      <c r="G52">
        <v>8733.0059999999994</v>
      </c>
      <c r="H52">
        <v>22974.531185889799</v>
      </c>
      <c r="I52">
        <v>155207.36446521801</v>
      </c>
      <c r="J52">
        <v>232811.046697827</v>
      </c>
      <c r="M52">
        <v>8733.0059999999994</v>
      </c>
      <c r="N52">
        <v>144715.90294922699</v>
      </c>
      <c r="O52">
        <v>182591.98673286501</v>
      </c>
      <c r="P52">
        <v>469556.93255196</v>
      </c>
      <c r="Q52">
        <v>142249.042869867</v>
      </c>
      <c r="U52">
        <v>8733.0059999999994</v>
      </c>
      <c r="V52">
        <v>-76384.392977244104</v>
      </c>
    </row>
    <row r="53" spans="7:22" x14ac:dyDescent="0.25">
      <c r="G53">
        <v>8734.0059999999994</v>
      </c>
      <c r="H53">
        <v>22974.531185889799</v>
      </c>
      <c r="I53">
        <v>155207.36446521801</v>
      </c>
      <c r="J53">
        <v>232811.046697827</v>
      </c>
      <c r="M53">
        <v>8734.0059999999994</v>
      </c>
      <c r="N53">
        <v>144745.730949227</v>
      </c>
      <c r="O53">
        <v>182612.892732865</v>
      </c>
      <c r="P53">
        <v>469623.95355196</v>
      </c>
      <c r="Q53">
        <v>142265.32986986701</v>
      </c>
      <c r="U53">
        <v>8734.0059999999994</v>
      </c>
      <c r="V53">
        <v>-76378.8539772441</v>
      </c>
    </row>
    <row r="54" spans="7:22" x14ac:dyDescent="0.25">
      <c r="G54">
        <v>8735.0059999999994</v>
      </c>
      <c r="H54">
        <v>22974.531185889799</v>
      </c>
      <c r="I54">
        <v>155207.36446521801</v>
      </c>
      <c r="J54">
        <v>232811.046697827</v>
      </c>
      <c r="M54">
        <v>8735.0059999999994</v>
      </c>
      <c r="N54">
        <v>144763.61294922701</v>
      </c>
      <c r="O54">
        <v>182633.79873286499</v>
      </c>
      <c r="P54">
        <v>469679.02755196003</v>
      </c>
      <c r="Q54">
        <v>142281.61686986699</v>
      </c>
      <c r="U54">
        <v>8735.0059999999994</v>
      </c>
      <c r="V54">
        <v>-76375.434977244106</v>
      </c>
    </row>
    <row r="55" spans="7:22" x14ac:dyDescent="0.25">
      <c r="G55">
        <v>8736.0059999999994</v>
      </c>
      <c r="H55">
        <v>22974.532185889799</v>
      </c>
      <c r="I55">
        <v>155207.36446521801</v>
      </c>
      <c r="J55">
        <v>232811.046697827</v>
      </c>
      <c r="M55">
        <v>8736.0059999999994</v>
      </c>
      <c r="N55">
        <v>144763.61294922701</v>
      </c>
      <c r="O55">
        <v>182654.70473286501</v>
      </c>
      <c r="P55">
        <v>469716.22055196</v>
      </c>
      <c r="Q55">
        <v>142297.90286986699</v>
      </c>
      <c r="U55">
        <v>8736.0059999999994</v>
      </c>
      <c r="V55">
        <v>-76375.435977244095</v>
      </c>
    </row>
    <row r="56" spans="7:22" x14ac:dyDescent="0.25">
      <c r="G56">
        <v>8737.0059999999994</v>
      </c>
      <c r="H56">
        <v>22976.3611858898</v>
      </c>
      <c r="I56">
        <v>155207.36446521801</v>
      </c>
      <c r="J56">
        <v>232811.046697827</v>
      </c>
      <c r="M56">
        <v>8737.0059999999994</v>
      </c>
      <c r="N56">
        <v>144763.61294922701</v>
      </c>
      <c r="O56">
        <v>182675.610732865</v>
      </c>
      <c r="P56">
        <v>469753.41355196002</v>
      </c>
      <c r="Q56">
        <v>142314.189869867</v>
      </c>
      <c r="U56">
        <v>8737.0059999999994</v>
      </c>
      <c r="V56">
        <v>-76377.007977244095</v>
      </c>
    </row>
    <row r="57" spans="7:22" x14ac:dyDescent="0.25">
      <c r="G57">
        <v>8738.0059999999994</v>
      </c>
      <c r="H57">
        <v>22978.5011858898</v>
      </c>
      <c r="I57">
        <v>155207.36446521801</v>
      </c>
      <c r="J57">
        <v>232811.046697827</v>
      </c>
      <c r="M57">
        <v>8738.0059999999994</v>
      </c>
      <c r="N57">
        <v>144763.61294922701</v>
      </c>
      <c r="O57">
        <v>182696.51673286501</v>
      </c>
      <c r="P57">
        <v>469790.60655195999</v>
      </c>
      <c r="Q57">
        <v>142330.47686986701</v>
      </c>
      <c r="U57">
        <v>8738.0059999999994</v>
      </c>
      <c r="V57">
        <v>-76378.910977244101</v>
      </c>
    </row>
    <row r="58" spans="7:22" x14ac:dyDescent="0.25">
      <c r="G58">
        <v>8739.0059999999994</v>
      </c>
      <c r="H58">
        <v>22981.491185889801</v>
      </c>
      <c r="I58">
        <v>155207.36446521801</v>
      </c>
      <c r="J58">
        <v>232811.046697827</v>
      </c>
      <c r="M58">
        <v>8739.0059999999994</v>
      </c>
      <c r="N58">
        <v>144763.61294922701</v>
      </c>
      <c r="O58">
        <v>182717.422732865</v>
      </c>
      <c r="P58">
        <v>469827.79855195998</v>
      </c>
      <c r="Q58">
        <v>142346.76386986699</v>
      </c>
      <c r="U58">
        <v>8739.0059999999994</v>
      </c>
      <c r="V58">
        <v>-76381.559977244106</v>
      </c>
    </row>
    <row r="59" spans="7:22" x14ac:dyDescent="0.25">
      <c r="G59">
        <v>8740.0059999999994</v>
      </c>
      <c r="H59">
        <v>22984.870185889798</v>
      </c>
      <c r="I59">
        <v>155207.36446521801</v>
      </c>
      <c r="J59">
        <v>232811.046697827</v>
      </c>
      <c r="M59">
        <v>8740.0059999999994</v>
      </c>
      <c r="N59">
        <v>144763.61294922701</v>
      </c>
      <c r="O59">
        <v>182738.327732865</v>
      </c>
      <c r="P59">
        <v>469864.99155196</v>
      </c>
      <c r="Q59">
        <v>142363.050869867</v>
      </c>
      <c r="U59">
        <v>8740.0059999999994</v>
      </c>
      <c r="V59">
        <v>-76384.364977244099</v>
      </c>
    </row>
    <row r="60" spans="7:22" x14ac:dyDescent="0.25">
      <c r="G60">
        <v>8741.0059999999994</v>
      </c>
      <c r="H60">
        <v>22987.907185889799</v>
      </c>
      <c r="I60">
        <v>155207.36446521801</v>
      </c>
      <c r="J60">
        <v>232811.046697827</v>
      </c>
      <c r="M60">
        <v>8741.0059999999994</v>
      </c>
      <c r="N60">
        <v>144763.61294922701</v>
      </c>
      <c r="O60">
        <v>182759.23373286499</v>
      </c>
      <c r="P60">
        <v>469902.18455195997</v>
      </c>
      <c r="Q60">
        <v>142379.33686986699</v>
      </c>
      <c r="U60">
        <v>8741.0059999999994</v>
      </c>
      <c r="V60">
        <v>-76386.854977244104</v>
      </c>
    </row>
    <row r="61" spans="7:22" x14ac:dyDescent="0.25">
      <c r="G61">
        <v>8742.0059999999994</v>
      </c>
      <c r="H61">
        <v>22990.0401858898</v>
      </c>
      <c r="I61">
        <v>155207.36446521801</v>
      </c>
      <c r="J61">
        <v>232811.046697827</v>
      </c>
      <c r="M61">
        <v>8742.0059999999994</v>
      </c>
      <c r="N61">
        <v>144763.61294922701</v>
      </c>
      <c r="O61">
        <v>182780.13973286501</v>
      </c>
      <c r="P61">
        <v>469939.37655196001</v>
      </c>
      <c r="Q61">
        <v>142395.62386986701</v>
      </c>
      <c r="U61">
        <v>8742.0059999999994</v>
      </c>
      <c r="V61">
        <v>-76388.559977244106</v>
      </c>
    </row>
    <row r="62" spans="7:22" x14ac:dyDescent="0.25">
      <c r="G62">
        <v>8743.0059999999994</v>
      </c>
      <c r="H62">
        <v>22990.582185889802</v>
      </c>
      <c r="I62">
        <v>155207.36446521801</v>
      </c>
      <c r="J62">
        <v>232811.046697827</v>
      </c>
      <c r="M62">
        <v>8743.0059999999994</v>
      </c>
      <c r="N62">
        <v>144763.61294922701</v>
      </c>
      <c r="O62">
        <v>182801.04573286499</v>
      </c>
      <c r="P62">
        <v>469976.56955195998</v>
      </c>
      <c r="Q62">
        <v>142411.91086986699</v>
      </c>
      <c r="U62">
        <v>8743.0059999999994</v>
      </c>
      <c r="V62">
        <v>-76388.992977244096</v>
      </c>
    </row>
    <row r="63" spans="7:22" x14ac:dyDescent="0.25">
      <c r="G63">
        <v>8744.0059999999994</v>
      </c>
      <c r="H63">
        <v>22990.582185889802</v>
      </c>
      <c r="I63">
        <v>155207.36446521801</v>
      </c>
      <c r="J63">
        <v>232811.046697827</v>
      </c>
      <c r="M63">
        <v>8744.0059999999994</v>
      </c>
      <c r="N63">
        <v>144773.44194922701</v>
      </c>
      <c r="O63">
        <v>182821.95173286501</v>
      </c>
      <c r="P63">
        <v>470023.59155195998</v>
      </c>
      <c r="Q63">
        <v>142428.197869867</v>
      </c>
      <c r="U63">
        <v>8744.0059999999994</v>
      </c>
      <c r="V63">
        <v>-76387.226977244107</v>
      </c>
    </row>
    <row r="64" spans="7:22" x14ac:dyDescent="0.25">
      <c r="G64">
        <v>8745.0059999999994</v>
      </c>
      <c r="H64">
        <v>22990.582185889802</v>
      </c>
      <c r="I64">
        <v>155207.36446521801</v>
      </c>
      <c r="J64">
        <v>232811.046697827</v>
      </c>
      <c r="M64">
        <v>8745.0059999999994</v>
      </c>
      <c r="N64">
        <v>144785.18794922699</v>
      </c>
      <c r="O64">
        <v>182842.857732865</v>
      </c>
      <c r="P64">
        <v>470072.52955196</v>
      </c>
      <c r="Q64">
        <v>142444.48486986701</v>
      </c>
      <c r="U64">
        <v>8745.0059999999994</v>
      </c>
      <c r="V64">
        <v>-76385.080977244099</v>
      </c>
    </row>
    <row r="65" spans="7:22" x14ac:dyDescent="0.25">
      <c r="G65">
        <v>8746.0059999999994</v>
      </c>
      <c r="H65">
        <v>22990.582185889802</v>
      </c>
      <c r="I65">
        <v>155207.36446521801</v>
      </c>
      <c r="J65">
        <v>232811.046697827</v>
      </c>
      <c r="M65">
        <v>8746.0059999999994</v>
      </c>
      <c r="N65">
        <v>144795.65594922699</v>
      </c>
      <c r="O65">
        <v>182863.76373286499</v>
      </c>
      <c r="P65">
        <v>470120.19055196003</v>
      </c>
      <c r="Q65">
        <v>142460.77186986699</v>
      </c>
      <c r="U65">
        <v>8746.0059999999994</v>
      </c>
      <c r="V65">
        <v>-76383.217977244101</v>
      </c>
    </row>
    <row r="66" spans="7:22" x14ac:dyDescent="0.25">
      <c r="G66">
        <v>8747.0059999999994</v>
      </c>
      <c r="H66">
        <v>22990.582185889802</v>
      </c>
      <c r="I66">
        <v>155207.36446521801</v>
      </c>
      <c r="J66">
        <v>232811.046697827</v>
      </c>
      <c r="M66">
        <v>8747.0059999999994</v>
      </c>
      <c r="N66">
        <v>144812.13694922699</v>
      </c>
      <c r="O66">
        <v>182884.669732865</v>
      </c>
      <c r="P66">
        <v>470173.86455196002</v>
      </c>
      <c r="Q66">
        <v>142477.05786986701</v>
      </c>
      <c r="U66">
        <v>8747.0059999999994</v>
      </c>
      <c r="V66">
        <v>-76380.255977244102</v>
      </c>
    </row>
    <row r="67" spans="7:22" x14ac:dyDescent="0.25">
      <c r="G67">
        <v>8748.0059999999994</v>
      </c>
      <c r="H67">
        <v>22992.393185889799</v>
      </c>
      <c r="I67">
        <v>155208.612465218</v>
      </c>
      <c r="J67">
        <v>232812.918697827</v>
      </c>
      <c r="M67">
        <v>8748.0059999999994</v>
      </c>
      <c r="N67">
        <v>144810.888949227</v>
      </c>
      <c r="O67">
        <v>182905.57573286499</v>
      </c>
      <c r="P67">
        <v>470209.80855195998</v>
      </c>
      <c r="Q67">
        <v>142493.344869867</v>
      </c>
      <c r="U67">
        <v>8748.0059999999994</v>
      </c>
      <c r="V67">
        <v>-76382.9979772441</v>
      </c>
    </row>
    <row r="68" spans="7:22" x14ac:dyDescent="0.25">
      <c r="G68">
        <v>8749.0059999999994</v>
      </c>
      <c r="H68">
        <v>22992.393185889799</v>
      </c>
      <c r="I68">
        <v>155208.82546521799</v>
      </c>
      <c r="J68">
        <v>232813.23769782699</v>
      </c>
      <c r="M68">
        <v>8749.0059999999994</v>
      </c>
      <c r="N68">
        <v>144813.16194922701</v>
      </c>
      <c r="O68">
        <v>182926.48073286499</v>
      </c>
      <c r="P68">
        <v>470249.27455196</v>
      </c>
      <c r="Q68">
        <v>142509.63186986701</v>
      </c>
      <c r="U68">
        <v>8749.0059999999994</v>
      </c>
      <c r="V68">
        <v>-76382.749977244093</v>
      </c>
    </row>
    <row r="69" spans="7:22" x14ac:dyDescent="0.25">
      <c r="G69">
        <v>8750.0059999999994</v>
      </c>
      <c r="H69">
        <v>22993.0571858898</v>
      </c>
      <c r="I69">
        <v>155209.10846521801</v>
      </c>
      <c r="J69">
        <v>232813.663697827</v>
      </c>
      <c r="M69">
        <v>8750.0059999999994</v>
      </c>
      <c r="N69">
        <v>144812.877949227</v>
      </c>
      <c r="O69">
        <v>182947.38673286501</v>
      </c>
      <c r="P69">
        <v>470286.18455195997</v>
      </c>
      <c r="Q69">
        <v>142525.91886986699</v>
      </c>
      <c r="U69">
        <v>8750.0059999999994</v>
      </c>
      <c r="V69">
        <v>-76383.573977244101</v>
      </c>
    </row>
    <row r="70" spans="7:22" x14ac:dyDescent="0.25">
      <c r="G70">
        <v>8751.0059999999994</v>
      </c>
      <c r="H70">
        <v>22993.0571858898</v>
      </c>
      <c r="I70">
        <v>155209.44846521801</v>
      </c>
      <c r="J70">
        <v>232814.171697827</v>
      </c>
      <c r="M70">
        <v>8751.0059999999994</v>
      </c>
      <c r="N70">
        <v>144814.22394922699</v>
      </c>
      <c r="O70">
        <v>182968.292732865</v>
      </c>
      <c r="P70">
        <v>470324.72255195997</v>
      </c>
      <c r="Q70">
        <v>142542.205869867</v>
      </c>
      <c r="U70">
        <v>8751.0059999999994</v>
      </c>
      <c r="V70">
        <v>-76383.575977244094</v>
      </c>
    </row>
    <row r="71" spans="7:22" x14ac:dyDescent="0.25">
      <c r="G71">
        <v>8752.0059999999994</v>
      </c>
      <c r="H71">
        <v>22993.0571858898</v>
      </c>
      <c r="I71">
        <v>155209.61646521799</v>
      </c>
      <c r="J71">
        <v>232814.42369782701</v>
      </c>
      <c r="M71">
        <v>8752.0059999999994</v>
      </c>
      <c r="N71">
        <v>144830.170949227</v>
      </c>
      <c r="O71">
        <v>182989.19873286501</v>
      </c>
      <c r="P71">
        <v>470377.86155196</v>
      </c>
      <c r="Q71">
        <v>142558.49186986699</v>
      </c>
      <c r="U71">
        <v>8752.0059999999994</v>
      </c>
      <c r="V71">
        <v>-76381.181977244094</v>
      </c>
    </row>
    <row r="72" spans="7:22" x14ac:dyDescent="0.25">
      <c r="G72">
        <v>8753.0059999999994</v>
      </c>
      <c r="H72">
        <v>22993.0571858898</v>
      </c>
      <c r="I72">
        <v>155209.832465218</v>
      </c>
      <c r="J72">
        <v>232814.747697827</v>
      </c>
      <c r="M72">
        <v>8753.0059999999994</v>
      </c>
      <c r="N72">
        <v>144869.59894922699</v>
      </c>
      <c r="O72">
        <v>183010.104732865</v>
      </c>
      <c r="P72">
        <v>470454.48255195998</v>
      </c>
      <c r="Q72">
        <v>142574.778869867</v>
      </c>
      <c r="U72">
        <v>8753.0059999999994</v>
      </c>
      <c r="V72">
        <v>-76374.988977244095</v>
      </c>
    </row>
    <row r="73" spans="7:22" x14ac:dyDescent="0.25">
      <c r="G73">
        <v>8754.0059999999994</v>
      </c>
      <c r="H73">
        <v>22993.0571858898</v>
      </c>
      <c r="I73">
        <v>155209.99246521801</v>
      </c>
      <c r="J73">
        <v>232814.98769782699</v>
      </c>
      <c r="M73">
        <v>8754.0059999999994</v>
      </c>
      <c r="N73">
        <v>144907.159949227</v>
      </c>
      <c r="O73">
        <v>183031.01073286499</v>
      </c>
      <c r="P73">
        <v>470529.23655196</v>
      </c>
      <c r="Q73">
        <v>142591.06586986699</v>
      </c>
      <c r="U73">
        <v>8754.0059999999994</v>
      </c>
      <c r="V73">
        <v>-76369.177977244093</v>
      </c>
    </row>
    <row r="74" spans="7:22" x14ac:dyDescent="0.25">
      <c r="G74">
        <v>8755.0059999999994</v>
      </c>
      <c r="H74">
        <v>22993.0571858898</v>
      </c>
      <c r="I74">
        <v>155210.06146521799</v>
      </c>
      <c r="J74">
        <v>232815.09169782701</v>
      </c>
      <c r="M74">
        <v>8755.0059999999994</v>
      </c>
      <c r="N74">
        <v>144917.48694922699</v>
      </c>
      <c r="O74">
        <v>183051.91673286501</v>
      </c>
      <c r="P74">
        <v>470576.75655196002</v>
      </c>
      <c r="Q74">
        <v>142607.352869867</v>
      </c>
      <c r="U74">
        <v>8755.0059999999994</v>
      </c>
      <c r="V74">
        <v>-76367.727977244096</v>
      </c>
    </row>
    <row r="75" spans="7:22" x14ac:dyDescent="0.25">
      <c r="G75">
        <v>8756.0059999999994</v>
      </c>
      <c r="H75">
        <v>22993.0571858898</v>
      </c>
      <c r="I75">
        <v>155210.15746521801</v>
      </c>
      <c r="J75">
        <v>232815.23569782701</v>
      </c>
      <c r="M75">
        <v>8756.0059999999994</v>
      </c>
      <c r="N75">
        <v>144935.466949227</v>
      </c>
      <c r="O75">
        <v>183072.822732865</v>
      </c>
      <c r="P75">
        <v>470631.92855195998</v>
      </c>
      <c r="Q75">
        <v>142623.63986986701</v>
      </c>
      <c r="U75">
        <v>8756.0059999999994</v>
      </c>
      <c r="V75">
        <v>-76365.204977244095</v>
      </c>
    </row>
    <row r="76" spans="7:22" x14ac:dyDescent="0.25">
      <c r="G76">
        <v>8757.0059999999994</v>
      </c>
      <c r="H76">
        <v>22993.0571858898</v>
      </c>
      <c r="I76">
        <v>155210.21746521801</v>
      </c>
      <c r="J76">
        <v>232815.32569782701</v>
      </c>
      <c r="M76">
        <v>8757.0059999999994</v>
      </c>
      <c r="N76">
        <v>144939.35494922701</v>
      </c>
      <c r="O76">
        <v>183093.72773286499</v>
      </c>
      <c r="P76">
        <v>470673.00955195999</v>
      </c>
      <c r="Q76">
        <v>142639.925869867</v>
      </c>
      <c r="U76">
        <v>8757.0059999999994</v>
      </c>
      <c r="V76">
        <v>-76364.687977244103</v>
      </c>
    </row>
    <row r="77" spans="7:22" x14ac:dyDescent="0.25">
      <c r="G77">
        <v>8758.0059999999994</v>
      </c>
      <c r="H77">
        <v>22993.0571858898</v>
      </c>
      <c r="I77">
        <v>155210.21746521801</v>
      </c>
      <c r="J77">
        <v>232815.32569782701</v>
      </c>
      <c r="M77">
        <v>8758.0059999999994</v>
      </c>
      <c r="N77">
        <v>144949.19194922701</v>
      </c>
      <c r="O77">
        <v>183114.63373286501</v>
      </c>
      <c r="P77">
        <v>470720.03855196002</v>
      </c>
      <c r="Q77">
        <v>142656.21286986701</v>
      </c>
      <c r="U77">
        <v>8758.0059999999994</v>
      </c>
      <c r="V77">
        <v>-76363.259977244103</v>
      </c>
    </row>
    <row r="78" spans="7:22" x14ac:dyDescent="0.25">
      <c r="G78">
        <v>8759.0059999999994</v>
      </c>
      <c r="H78">
        <v>22993.0571858898</v>
      </c>
      <c r="I78">
        <v>155210.22246521799</v>
      </c>
      <c r="J78">
        <v>232815.33369782701</v>
      </c>
      <c r="M78">
        <v>8759.0059999999994</v>
      </c>
      <c r="N78">
        <v>144949.77794922699</v>
      </c>
      <c r="O78">
        <v>183135.539732865</v>
      </c>
      <c r="P78">
        <v>470757.81855195999</v>
      </c>
      <c r="Q78">
        <v>142672.499869867</v>
      </c>
      <c r="U78">
        <v>8759.0059999999994</v>
      </c>
      <c r="V78">
        <v>-76363.170977244095</v>
      </c>
    </row>
    <row r="79" spans="7:22" x14ac:dyDescent="0.25">
      <c r="G79">
        <v>8760.0059999999994</v>
      </c>
      <c r="H79">
        <v>22995.1101858898</v>
      </c>
      <c r="I79">
        <v>155210.22246521799</v>
      </c>
      <c r="J79">
        <v>232815.33369782701</v>
      </c>
      <c r="M79">
        <v>8760.0059999999994</v>
      </c>
      <c r="N79">
        <v>144949.77794922699</v>
      </c>
      <c r="O79">
        <v>183156.44573286499</v>
      </c>
      <c r="P79">
        <v>470795.01155196002</v>
      </c>
      <c r="Q79">
        <v>142688.78686986701</v>
      </c>
      <c r="U79">
        <v>8760.0059999999994</v>
      </c>
      <c r="V79">
        <v>-76364.989977244099</v>
      </c>
    </row>
    <row r="80" spans="7:22" x14ac:dyDescent="0.25">
      <c r="G80">
        <v>8761.0059999999994</v>
      </c>
      <c r="H80">
        <v>22998.050185889799</v>
      </c>
      <c r="I80">
        <v>155210.22246521799</v>
      </c>
      <c r="J80">
        <v>232815.33369782701</v>
      </c>
      <c r="M80">
        <v>8761.0059999999994</v>
      </c>
      <c r="N80">
        <v>144949.77794922699</v>
      </c>
      <c r="O80">
        <v>183177.35173286501</v>
      </c>
      <c r="P80">
        <v>470832.20355196</v>
      </c>
      <c r="Q80">
        <v>142705.07386986699</v>
      </c>
      <c r="U80">
        <v>8761.0059999999994</v>
      </c>
      <c r="V80">
        <v>-76367.918977244102</v>
      </c>
    </row>
    <row r="81" spans="7:22" x14ac:dyDescent="0.25">
      <c r="G81">
        <v>8762.0059999999994</v>
      </c>
      <c r="H81">
        <v>23001.529185889802</v>
      </c>
      <c r="I81">
        <v>155210.22246521799</v>
      </c>
      <c r="J81">
        <v>232815.33369782701</v>
      </c>
      <c r="M81">
        <v>8762.0059999999994</v>
      </c>
      <c r="N81">
        <v>144949.77794922699</v>
      </c>
      <c r="O81">
        <v>183198.25773286499</v>
      </c>
      <c r="P81">
        <v>470869.39655195997</v>
      </c>
      <c r="Q81">
        <v>142721.360869867</v>
      </c>
      <c r="U81">
        <v>8762.0059999999994</v>
      </c>
      <c r="V81">
        <v>-76371.568977244096</v>
      </c>
    </row>
    <row r="82" spans="7:22" x14ac:dyDescent="0.25">
      <c r="G82">
        <v>8763.0059999999994</v>
      </c>
      <c r="H82">
        <v>23003.213185889799</v>
      </c>
      <c r="I82">
        <v>155210.22546521801</v>
      </c>
      <c r="J82">
        <v>232815.33869782701</v>
      </c>
      <c r="M82">
        <v>8763.0059999999994</v>
      </c>
      <c r="N82">
        <v>144949.77494922699</v>
      </c>
      <c r="O82">
        <v>183219.16373286501</v>
      </c>
      <c r="P82">
        <v>470906.58655195998</v>
      </c>
      <c r="Q82">
        <v>142737.64686986699</v>
      </c>
      <c r="U82">
        <v>8763.0059999999994</v>
      </c>
      <c r="V82">
        <v>-76375.545977244095</v>
      </c>
    </row>
    <row r="83" spans="7:22" x14ac:dyDescent="0.25">
      <c r="G83">
        <v>8764.0059999999994</v>
      </c>
      <c r="H83">
        <v>23003.934185889801</v>
      </c>
      <c r="I83">
        <v>155210.226465218</v>
      </c>
      <c r="J83">
        <v>232815.339697827</v>
      </c>
      <c r="M83">
        <v>8764.0059999999994</v>
      </c>
      <c r="N83">
        <v>144949.773949227</v>
      </c>
      <c r="O83">
        <v>183240.069732865</v>
      </c>
      <c r="P83">
        <v>470943.77755196003</v>
      </c>
      <c r="Q83">
        <v>142753.933869867</v>
      </c>
      <c r="U83">
        <v>8764.0059999999994</v>
      </c>
      <c r="V83">
        <v>-76380.578977244106</v>
      </c>
    </row>
    <row r="84" spans="7:22" x14ac:dyDescent="0.25">
      <c r="G84">
        <v>8765.0059999999994</v>
      </c>
      <c r="H84">
        <v>23005.621185889799</v>
      </c>
      <c r="I84">
        <v>155210.226465218</v>
      </c>
      <c r="J84">
        <v>232815.339697827</v>
      </c>
      <c r="M84">
        <v>8765.0059999999994</v>
      </c>
      <c r="N84">
        <v>144949.773949227</v>
      </c>
      <c r="O84">
        <v>183260.97573286499</v>
      </c>
      <c r="P84">
        <v>470980.97055196</v>
      </c>
      <c r="Q84">
        <v>142770.22086986699</v>
      </c>
      <c r="U84">
        <v>8765.0059999999994</v>
      </c>
      <c r="V84">
        <v>-76386.100977244103</v>
      </c>
    </row>
    <row r="85" spans="7:22" x14ac:dyDescent="0.25">
      <c r="G85">
        <v>8766.0059999999994</v>
      </c>
      <c r="H85">
        <v>23008.1101858898</v>
      </c>
      <c r="I85">
        <v>155210.226465218</v>
      </c>
      <c r="J85">
        <v>232815.339697827</v>
      </c>
      <c r="M85">
        <v>8766.0059999999994</v>
      </c>
      <c r="N85">
        <v>144949.773949227</v>
      </c>
      <c r="O85">
        <v>183281.88073286499</v>
      </c>
      <c r="P85">
        <v>471018.16355196002</v>
      </c>
      <c r="Q85">
        <v>142786.507869867</v>
      </c>
      <c r="U85">
        <v>8766.0059999999994</v>
      </c>
      <c r="V85">
        <v>-76391.413977244098</v>
      </c>
    </row>
    <row r="86" spans="7:22" x14ac:dyDescent="0.25">
      <c r="G86">
        <v>8767.0059999999994</v>
      </c>
      <c r="H86">
        <v>23011.6461858898</v>
      </c>
      <c r="I86">
        <v>155210.226465218</v>
      </c>
      <c r="J86">
        <v>232815.339697827</v>
      </c>
      <c r="M86">
        <v>8767.0059999999994</v>
      </c>
      <c r="N86">
        <v>144949.773949227</v>
      </c>
      <c r="O86">
        <v>183302.786732865</v>
      </c>
      <c r="P86">
        <v>471055.35555196</v>
      </c>
      <c r="Q86">
        <v>142802.79486986701</v>
      </c>
      <c r="U86">
        <v>8767.0059999999994</v>
      </c>
      <c r="V86">
        <v>-76395.323977244101</v>
      </c>
    </row>
    <row r="87" spans="7:22" x14ac:dyDescent="0.25">
      <c r="G87">
        <v>8768.0059999999994</v>
      </c>
      <c r="H87">
        <v>23013.351185889798</v>
      </c>
      <c r="I87">
        <v>155210.24446521801</v>
      </c>
      <c r="J87">
        <v>232815.366697827</v>
      </c>
      <c r="M87">
        <v>8768.0059999999994</v>
      </c>
      <c r="N87">
        <v>144949.75594922699</v>
      </c>
      <c r="O87">
        <v>183323.69273286499</v>
      </c>
      <c r="P87">
        <v>471092.53055195999</v>
      </c>
      <c r="Q87">
        <v>142819.080869867</v>
      </c>
      <c r="U87">
        <v>8768.0059999999994</v>
      </c>
      <c r="V87">
        <v>-76396.963977244101</v>
      </c>
    </row>
    <row r="88" spans="7:22" x14ac:dyDescent="0.25">
      <c r="G88">
        <v>8769.0059999999994</v>
      </c>
      <c r="H88">
        <v>23013.351185889798</v>
      </c>
      <c r="I88">
        <v>155210.24946521799</v>
      </c>
      <c r="J88">
        <v>232815.37369782699</v>
      </c>
      <c r="M88">
        <v>8769.0059999999994</v>
      </c>
      <c r="N88">
        <v>144951.31994922701</v>
      </c>
      <c r="O88">
        <v>183344.59873286501</v>
      </c>
      <c r="P88">
        <v>471131.28755195998</v>
      </c>
      <c r="Q88">
        <v>142835.36786986701</v>
      </c>
      <c r="U88">
        <v>8769.0059999999994</v>
      </c>
      <c r="V88">
        <v>-76396.661977244104</v>
      </c>
    </row>
    <row r="89" spans="7:22" x14ac:dyDescent="0.25">
      <c r="G89">
        <v>8770.0059999999994</v>
      </c>
      <c r="H89">
        <v>23013.351185889798</v>
      </c>
      <c r="I89">
        <v>155210.816465218</v>
      </c>
      <c r="J89">
        <v>232816.22469782701</v>
      </c>
      <c r="M89">
        <v>8770.0059999999994</v>
      </c>
      <c r="N89">
        <v>144955.76494922701</v>
      </c>
      <c r="O89">
        <v>183365.504732865</v>
      </c>
      <c r="P89">
        <v>471172.92455196002</v>
      </c>
      <c r="Q89">
        <v>142851.65486986699</v>
      </c>
      <c r="U89">
        <v>8770.0059999999994</v>
      </c>
      <c r="V89">
        <v>-76396.235977244098</v>
      </c>
    </row>
    <row r="90" spans="7:22" x14ac:dyDescent="0.25">
      <c r="G90">
        <v>8771.0059999999994</v>
      </c>
      <c r="H90">
        <v>23013.351185889798</v>
      </c>
      <c r="I90">
        <v>155211.72346521801</v>
      </c>
      <c r="J90">
        <v>232817.584697827</v>
      </c>
      <c r="M90">
        <v>8771.0059999999994</v>
      </c>
      <c r="N90">
        <v>144966.817949227</v>
      </c>
      <c r="O90">
        <v>183386.41073286501</v>
      </c>
      <c r="P90">
        <v>471221.17055196001</v>
      </c>
      <c r="Q90">
        <v>142867.94186986701</v>
      </c>
      <c r="U90">
        <v>8771.0059999999994</v>
      </c>
      <c r="V90">
        <v>-76394.698977244101</v>
      </c>
    </row>
    <row r="91" spans="7:22" x14ac:dyDescent="0.25">
      <c r="G91">
        <v>8772.0059999999994</v>
      </c>
      <c r="H91">
        <v>23013.351185889798</v>
      </c>
      <c r="I91">
        <v>155212.80746521801</v>
      </c>
      <c r="J91">
        <v>232819.21069782699</v>
      </c>
      <c r="M91">
        <v>8772.0059999999994</v>
      </c>
      <c r="N91">
        <v>144987.966949227</v>
      </c>
      <c r="O91">
        <v>183407.316732865</v>
      </c>
      <c r="P91">
        <v>471279.51255196001</v>
      </c>
      <c r="Q91">
        <v>142884.22886986699</v>
      </c>
      <c r="U91">
        <v>8772.0059999999994</v>
      </c>
      <c r="V91">
        <v>-76390.983977244105</v>
      </c>
    </row>
    <row r="92" spans="7:22" x14ac:dyDescent="0.25">
      <c r="G92">
        <v>8773.0059999999994</v>
      </c>
      <c r="H92">
        <v>23013.351185889798</v>
      </c>
      <c r="I92">
        <v>155213.185465218</v>
      </c>
      <c r="J92">
        <v>232819.777697827</v>
      </c>
      <c r="M92">
        <v>8773.0059999999994</v>
      </c>
      <c r="N92">
        <v>145036.27294922699</v>
      </c>
      <c r="O92">
        <v>183428.22273286499</v>
      </c>
      <c r="P92">
        <v>471365.01055195997</v>
      </c>
      <c r="Q92">
        <v>142900.515869867</v>
      </c>
      <c r="U92">
        <v>8773.0059999999994</v>
      </c>
      <c r="V92">
        <v>-76380.325977244094</v>
      </c>
    </row>
    <row r="93" spans="7:22" x14ac:dyDescent="0.25">
      <c r="G93">
        <v>8774.0059999999994</v>
      </c>
      <c r="H93">
        <v>23013.351185889798</v>
      </c>
      <c r="I93">
        <v>155213.18746521801</v>
      </c>
      <c r="J93">
        <v>232819.78169782701</v>
      </c>
      <c r="M93">
        <v>8774.0059999999994</v>
      </c>
      <c r="N93">
        <v>145096.81594922699</v>
      </c>
      <c r="O93">
        <v>183449.12873286501</v>
      </c>
      <c r="P93">
        <v>471462.74655196001</v>
      </c>
      <c r="Q93">
        <v>142916.80186986699</v>
      </c>
      <c r="U93">
        <v>8774.0059999999994</v>
      </c>
      <c r="V93">
        <v>-76365.529977244107</v>
      </c>
    </row>
    <row r="94" spans="7:22" x14ac:dyDescent="0.25">
      <c r="G94">
        <v>8775.0059999999994</v>
      </c>
      <c r="H94">
        <v>23013.351185889798</v>
      </c>
      <c r="I94">
        <v>155213.18746521801</v>
      </c>
      <c r="J94">
        <v>232819.78169782701</v>
      </c>
      <c r="M94">
        <v>8775.0059999999994</v>
      </c>
      <c r="N94">
        <v>145165.07694922699</v>
      </c>
      <c r="O94">
        <v>183470.03373286501</v>
      </c>
      <c r="P94">
        <v>471568.20055195998</v>
      </c>
      <c r="Q94">
        <v>142933.088869867</v>
      </c>
      <c r="U94">
        <v>8775.0059999999994</v>
      </c>
      <c r="V94">
        <v>-76348.335977244104</v>
      </c>
    </row>
    <row r="95" spans="7:22" x14ac:dyDescent="0.25">
      <c r="G95">
        <v>8776.0059999999994</v>
      </c>
      <c r="H95">
        <v>23013.351185889798</v>
      </c>
      <c r="I95">
        <v>155213.18746521801</v>
      </c>
      <c r="J95">
        <v>232819.78169782701</v>
      </c>
      <c r="M95">
        <v>8776.0059999999994</v>
      </c>
      <c r="N95">
        <v>145252.15894922701</v>
      </c>
      <c r="O95">
        <v>183490.93973286499</v>
      </c>
      <c r="P95">
        <v>471692.47455196001</v>
      </c>
      <c r="Q95">
        <v>142949.37586986701</v>
      </c>
      <c r="U95">
        <v>8776.0059999999994</v>
      </c>
      <c r="V95">
        <v>-76326.248977244104</v>
      </c>
    </row>
    <row r="96" spans="7:22" x14ac:dyDescent="0.25">
      <c r="G96">
        <v>8777.0059999999994</v>
      </c>
      <c r="H96">
        <v>23013.351185889798</v>
      </c>
      <c r="I96">
        <v>155213.18746521801</v>
      </c>
      <c r="J96">
        <v>232819.78169782701</v>
      </c>
      <c r="M96">
        <v>8777.0059999999994</v>
      </c>
      <c r="N96">
        <v>145360.53694922701</v>
      </c>
      <c r="O96">
        <v>183511.84573286501</v>
      </c>
      <c r="P96">
        <v>471838.04555196001</v>
      </c>
      <c r="Q96">
        <v>142965.662869867</v>
      </c>
      <c r="U96">
        <v>8777.0059999999994</v>
      </c>
      <c r="V96">
        <v>-76297.138977244103</v>
      </c>
    </row>
    <row r="97" spans="7:22" x14ac:dyDescent="0.25">
      <c r="G97">
        <v>8778.0059999999994</v>
      </c>
      <c r="H97">
        <v>23013.351185889798</v>
      </c>
      <c r="I97">
        <v>155213.18746521801</v>
      </c>
      <c r="J97">
        <v>232819.78169782701</v>
      </c>
      <c r="M97">
        <v>8778.0059999999994</v>
      </c>
      <c r="N97">
        <v>145467.64194922699</v>
      </c>
      <c r="O97">
        <v>183532.751732865</v>
      </c>
      <c r="P97">
        <v>471982.34355196002</v>
      </c>
      <c r="Q97">
        <v>142981.94986986701</v>
      </c>
      <c r="U97">
        <v>8778.0059999999994</v>
      </c>
      <c r="V97">
        <v>-76266.383977244099</v>
      </c>
    </row>
    <row r="98" spans="7:22" x14ac:dyDescent="0.25">
      <c r="G98">
        <v>8779.0059999999994</v>
      </c>
      <c r="H98">
        <v>23013.351185889798</v>
      </c>
      <c r="I98">
        <v>155213.18746521801</v>
      </c>
      <c r="J98">
        <v>232819.78169782701</v>
      </c>
      <c r="M98">
        <v>8779.0059999999994</v>
      </c>
      <c r="N98">
        <v>145555.41694922699</v>
      </c>
      <c r="O98">
        <v>183553.65773286499</v>
      </c>
      <c r="P98">
        <v>472107.31155196001</v>
      </c>
      <c r="Q98">
        <v>142998.235869867</v>
      </c>
      <c r="U98">
        <v>8779.0059999999994</v>
      </c>
      <c r="V98">
        <v>-76239.786977244104</v>
      </c>
    </row>
    <row r="99" spans="7:22" x14ac:dyDescent="0.25">
      <c r="G99">
        <v>8780.0059999999994</v>
      </c>
      <c r="H99">
        <v>23013.351185889798</v>
      </c>
      <c r="I99">
        <v>155213.18746521801</v>
      </c>
      <c r="J99">
        <v>232819.78169782701</v>
      </c>
      <c r="M99">
        <v>8780.0059999999994</v>
      </c>
      <c r="N99">
        <v>145631.045949227</v>
      </c>
      <c r="O99">
        <v>183574.563732865</v>
      </c>
      <c r="P99">
        <v>472220.13255196001</v>
      </c>
      <c r="Q99">
        <v>143014.52286986701</v>
      </c>
      <c r="U99">
        <v>8780.0059999999994</v>
      </c>
      <c r="V99">
        <v>-76216.447977244097</v>
      </c>
    </row>
    <row r="100" spans="7:22" x14ac:dyDescent="0.25">
      <c r="G100">
        <v>8781.0059999999994</v>
      </c>
      <c r="H100">
        <v>23013.351185889798</v>
      </c>
      <c r="I100">
        <v>155213.18746521801</v>
      </c>
      <c r="J100">
        <v>232819.78169782701</v>
      </c>
      <c r="M100">
        <v>8781.0059999999994</v>
      </c>
      <c r="N100">
        <v>145704.222949227</v>
      </c>
      <c r="O100">
        <v>183595.46973286499</v>
      </c>
      <c r="P100">
        <v>472330.50255196</v>
      </c>
      <c r="Q100">
        <v>143030.80986986699</v>
      </c>
      <c r="U100">
        <v>8781.0059999999994</v>
      </c>
      <c r="V100">
        <v>-76190.368977244099</v>
      </c>
    </row>
    <row r="101" spans="7:22" x14ac:dyDescent="0.25">
      <c r="G101">
        <v>8782.0059999999994</v>
      </c>
      <c r="H101">
        <v>23013.351185889798</v>
      </c>
      <c r="I101">
        <v>155213.18746521801</v>
      </c>
      <c r="J101">
        <v>232819.78169782701</v>
      </c>
      <c r="M101">
        <v>8782.0059999999994</v>
      </c>
      <c r="N101">
        <v>145768.46094922701</v>
      </c>
      <c r="O101">
        <v>183616.37573286501</v>
      </c>
      <c r="P101">
        <v>472431.93355195998</v>
      </c>
      <c r="Q101">
        <v>143047.096869867</v>
      </c>
      <c r="U101">
        <v>8782.0059999999994</v>
      </c>
      <c r="V101">
        <v>-76166.995977244107</v>
      </c>
    </row>
    <row r="102" spans="7:22" x14ac:dyDescent="0.25">
      <c r="G102">
        <v>8783.0059999999994</v>
      </c>
      <c r="H102">
        <v>23013.351185889798</v>
      </c>
      <c r="I102">
        <v>155213.18746521801</v>
      </c>
      <c r="J102">
        <v>232819.78169782701</v>
      </c>
      <c r="M102">
        <v>8783.0059999999994</v>
      </c>
      <c r="N102">
        <v>145823.48494922699</v>
      </c>
      <c r="O102">
        <v>183637.28073286501</v>
      </c>
      <c r="P102">
        <v>472524.14955196</v>
      </c>
      <c r="Q102">
        <v>143063.38386986699</v>
      </c>
      <c r="U102">
        <v>8783.0059999999994</v>
      </c>
      <c r="V102">
        <v>-76149.034977244097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FB2A-28B2-48EB-838C-049927298A63}">
  <dimension ref="G3:Y103"/>
  <sheetViews>
    <sheetView workbookViewId="0">
      <selection activeCell="Q3" sqref="Q3"/>
    </sheetView>
  </sheetViews>
  <sheetFormatPr defaultRowHeight="15" x14ac:dyDescent="0.25"/>
  <cols>
    <col min="14" max="14" width="19.5703125" bestFit="1" customWidth="1"/>
    <col min="20" max="20" width="28.5703125" bestFit="1" customWidth="1"/>
    <col min="21" max="21" width="28.85546875" bestFit="1" customWidth="1"/>
  </cols>
  <sheetData>
    <row r="3" spans="7:25" x14ac:dyDescent="0.25">
      <c r="H3" t="s">
        <v>57</v>
      </c>
      <c r="I3" t="s">
        <v>58</v>
      </c>
      <c r="J3" t="s">
        <v>59</v>
      </c>
      <c r="K3" t="s">
        <v>60</v>
      </c>
      <c r="N3" t="s">
        <v>39</v>
      </c>
      <c r="O3" t="s">
        <v>40</v>
      </c>
      <c r="P3" t="s">
        <v>41</v>
      </c>
      <c r="Q3" t="s">
        <v>61</v>
      </c>
      <c r="T3" t="s">
        <v>62</v>
      </c>
      <c r="U3" t="s">
        <v>63</v>
      </c>
      <c r="V3" t="s">
        <v>64</v>
      </c>
      <c r="Y3" t="s">
        <v>42</v>
      </c>
    </row>
    <row r="4" spans="7:25" x14ac:dyDescent="0.25">
      <c r="G4">
        <v>8660.0059999999994</v>
      </c>
      <c r="H4">
        <v>0</v>
      </c>
      <c r="I4">
        <v>51.097499999999897</v>
      </c>
      <c r="J4">
        <v>82.809999999999903</v>
      </c>
      <c r="K4">
        <v>31.712499999999999</v>
      </c>
      <c r="M4">
        <v>8660.0059999999994</v>
      </c>
      <c r="N4">
        <v>190367.345682504</v>
      </c>
      <c r="O4">
        <v>181065.85752738599</v>
      </c>
      <c r="P4">
        <v>512493.30851811398</v>
      </c>
      <c r="Q4">
        <v>141060.10530822299</v>
      </c>
      <c r="S4">
        <v>8660.0059999999994</v>
      </c>
      <c r="T4">
        <v>21130.0701979443</v>
      </c>
      <c r="U4">
        <v>118453.792669303</v>
      </c>
      <c r="V4">
        <v>177680.68900395499</v>
      </c>
      <c r="X4">
        <v>8660.0059999999994</v>
      </c>
      <c r="Y4">
        <v>-42017.797955761002</v>
      </c>
    </row>
    <row r="5" spans="7:25" x14ac:dyDescent="0.25">
      <c r="G5">
        <v>8661.0059999999994</v>
      </c>
      <c r="H5">
        <v>0</v>
      </c>
      <c r="I5">
        <v>43.668499999999902</v>
      </c>
      <c r="J5">
        <v>80.069999999999894</v>
      </c>
      <c r="K5">
        <v>36.401499999999999</v>
      </c>
      <c r="M5">
        <v>8661.0059999999994</v>
      </c>
      <c r="N5">
        <v>190408.783682504</v>
      </c>
      <c r="O5">
        <v>181086.76352738601</v>
      </c>
      <c r="P5">
        <v>512571.93851811398</v>
      </c>
      <c r="Q5">
        <v>141076.392308223</v>
      </c>
      <c r="S5">
        <v>8661.0059999999994</v>
      </c>
      <c r="T5">
        <v>21130.0701979443</v>
      </c>
      <c r="U5">
        <v>118453.792669303</v>
      </c>
      <c r="V5">
        <v>177680.68900395499</v>
      </c>
      <c r="X5">
        <v>8661.0059999999994</v>
      </c>
      <c r="Y5">
        <v>-42006.654955760998</v>
      </c>
    </row>
    <row r="6" spans="7:25" x14ac:dyDescent="0.25">
      <c r="G6">
        <v>8662.0059999999994</v>
      </c>
      <c r="H6">
        <v>0</v>
      </c>
      <c r="I6">
        <v>23.642499999999899</v>
      </c>
      <c r="J6">
        <v>65.279999999999902</v>
      </c>
      <c r="K6">
        <v>41.637500000000003</v>
      </c>
      <c r="M6">
        <v>8662.0059999999994</v>
      </c>
      <c r="N6">
        <v>190428.76668250401</v>
      </c>
      <c r="O6">
        <v>181107.669527386</v>
      </c>
      <c r="P6">
        <v>512629.11451811402</v>
      </c>
      <c r="Q6">
        <v>141092.67930822301</v>
      </c>
      <c r="S6">
        <v>8662.0059999999994</v>
      </c>
      <c r="T6">
        <v>21130.0701979443</v>
      </c>
      <c r="U6">
        <v>118453.792669303</v>
      </c>
      <c r="V6">
        <v>177680.68900395499</v>
      </c>
      <c r="X6">
        <v>8662.0059999999994</v>
      </c>
      <c r="Y6">
        <v>-42001.090955760999</v>
      </c>
    </row>
    <row r="7" spans="7:25" x14ac:dyDescent="0.25">
      <c r="G7">
        <v>8663.0059999999994</v>
      </c>
      <c r="H7">
        <v>0</v>
      </c>
      <c r="I7">
        <v>9.8174999999999795</v>
      </c>
      <c r="J7">
        <v>55.959999999999901</v>
      </c>
      <c r="K7">
        <v>46.142499999999998</v>
      </c>
      <c r="M7">
        <v>8663.0059999999994</v>
      </c>
      <c r="N7">
        <v>190436.50768250399</v>
      </c>
      <c r="O7">
        <v>181128.57552738601</v>
      </c>
      <c r="P7">
        <v>512674.04851811402</v>
      </c>
      <c r="Q7">
        <v>141108.96530822301</v>
      </c>
      <c r="S7">
        <v>8663.0059999999994</v>
      </c>
      <c r="T7">
        <v>21130.0701979443</v>
      </c>
      <c r="U7">
        <v>118453.792669303</v>
      </c>
      <c r="V7">
        <v>177680.68900395499</v>
      </c>
      <c r="X7">
        <v>8663.0059999999994</v>
      </c>
      <c r="Y7">
        <v>-41999.459955760998</v>
      </c>
    </row>
    <row r="8" spans="7:25" x14ac:dyDescent="0.25">
      <c r="G8">
        <v>8664.0059999999994</v>
      </c>
      <c r="H8">
        <v>0</v>
      </c>
      <c r="I8">
        <v>4.65949999999998</v>
      </c>
      <c r="J8">
        <v>50.299999999999898</v>
      </c>
      <c r="K8">
        <v>45.640500000000003</v>
      </c>
      <c r="M8">
        <v>8664.0059999999994</v>
      </c>
      <c r="N8">
        <v>190440.19268250401</v>
      </c>
      <c r="O8">
        <v>181149.481527386</v>
      </c>
      <c r="P8">
        <v>512714.925518114</v>
      </c>
      <c r="Q8">
        <v>141125.25230822299</v>
      </c>
      <c r="S8">
        <v>8664.0059999999994</v>
      </c>
      <c r="T8">
        <v>21130.0701979443</v>
      </c>
      <c r="U8">
        <v>118453.792669303</v>
      </c>
      <c r="V8">
        <v>177680.68900395499</v>
      </c>
      <c r="X8">
        <v>8664.0059999999994</v>
      </c>
      <c r="Y8">
        <v>-41998.729955761002</v>
      </c>
    </row>
    <row r="9" spans="7:25" x14ac:dyDescent="0.25">
      <c r="G9">
        <v>8665.0059999999994</v>
      </c>
      <c r="H9">
        <v>0</v>
      </c>
      <c r="I9">
        <v>4.9999999998817603E-4</v>
      </c>
      <c r="J9">
        <v>36.999999999999901</v>
      </c>
      <c r="K9">
        <v>45.883499999999998</v>
      </c>
      <c r="M9">
        <v>8665.0059999999994</v>
      </c>
      <c r="N9">
        <v>190440.19268250401</v>
      </c>
      <c r="O9">
        <v>181170.386527386</v>
      </c>
      <c r="P9">
        <v>512752.11851811397</v>
      </c>
      <c r="Q9">
        <v>141141.539308223</v>
      </c>
      <c r="S9">
        <v>8665.0059999999994</v>
      </c>
      <c r="T9">
        <v>21131.217197944301</v>
      </c>
      <c r="U9">
        <v>118453.792669303</v>
      </c>
      <c r="V9">
        <v>177680.68900395499</v>
      </c>
      <c r="X9">
        <v>8665.0059999999994</v>
      </c>
      <c r="Y9">
        <v>-41999.975955761001</v>
      </c>
    </row>
    <row r="10" spans="7:25" x14ac:dyDescent="0.25">
      <c r="G10">
        <v>8666.0059999999994</v>
      </c>
      <c r="H10">
        <v>0</v>
      </c>
      <c r="I10">
        <v>4.9999999998817603E-4</v>
      </c>
      <c r="J10">
        <v>32.1099999999999</v>
      </c>
      <c r="K10">
        <v>48.904499999999999</v>
      </c>
      <c r="M10">
        <v>8666.0059999999994</v>
      </c>
      <c r="N10">
        <v>190440.19268250401</v>
      </c>
      <c r="O10">
        <v>181191.29252738599</v>
      </c>
      <c r="P10">
        <v>512789.311518114</v>
      </c>
      <c r="Q10">
        <v>141157.82630822301</v>
      </c>
      <c r="S10">
        <v>8666.0059999999994</v>
      </c>
      <c r="T10">
        <v>21133.043197944298</v>
      </c>
      <c r="U10">
        <v>118453.792669303</v>
      </c>
      <c r="V10">
        <v>177680.68900395499</v>
      </c>
      <c r="X10">
        <v>8666.0059999999994</v>
      </c>
      <c r="Y10">
        <v>-42001.931955761</v>
      </c>
    </row>
    <row r="11" spans="7:25" x14ac:dyDescent="0.25">
      <c r="G11">
        <v>8667.0059999999994</v>
      </c>
      <c r="H11">
        <v>0</v>
      </c>
      <c r="I11">
        <v>4.9999999998817603E-4</v>
      </c>
      <c r="J11">
        <v>29.719999999999899</v>
      </c>
      <c r="K11">
        <v>54.5565</v>
      </c>
      <c r="M11">
        <v>8667.0059999999994</v>
      </c>
      <c r="N11">
        <v>190440.19268250401</v>
      </c>
      <c r="O11">
        <v>181212.198527386</v>
      </c>
      <c r="P11">
        <v>512826.50451811397</v>
      </c>
      <c r="Q11">
        <v>141174.11330822299</v>
      </c>
      <c r="S11">
        <v>8667.0059999999994</v>
      </c>
      <c r="T11">
        <v>21135.3741979443</v>
      </c>
      <c r="U11">
        <v>118453.792669303</v>
      </c>
      <c r="V11">
        <v>177680.68900395499</v>
      </c>
      <c r="X11">
        <v>8667.0059999999994</v>
      </c>
      <c r="Y11">
        <v>-42004.508955760997</v>
      </c>
    </row>
    <row r="12" spans="7:25" x14ac:dyDescent="0.25">
      <c r="G12">
        <v>8668.0059999999994</v>
      </c>
      <c r="H12">
        <v>0</v>
      </c>
      <c r="I12">
        <v>-4.9500000000008898E-2</v>
      </c>
      <c r="J12">
        <v>28.8799999999999</v>
      </c>
      <c r="K12">
        <v>57.436500000000002</v>
      </c>
      <c r="M12">
        <v>8668.0059999999994</v>
      </c>
      <c r="N12">
        <v>190440.18968250399</v>
      </c>
      <c r="O12">
        <v>181233.10452738599</v>
      </c>
      <c r="P12">
        <v>512863.69451811397</v>
      </c>
      <c r="Q12">
        <v>141190.400308223</v>
      </c>
      <c r="S12">
        <v>8668.0059999999994</v>
      </c>
      <c r="T12">
        <v>21136.848197944299</v>
      </c>
      <c r="U12">
        <v>118453.795669303</v>
      </c>
      <c r="V12">
        <v>177680.69300395501</v>
      </c>
      <c r="X12">
        <v>8668.0059999999994</v>
      </c>
      <c r="Y12">
        <v>-42007.492955761001</v>
      </c>
    </row>
    <row r="13" spans="7:25" x14ac:dyDescent="0.25">
      <c r="G13">
        <v>8669.0059999999994</v>
      </c>
      <c r="H13">
        <v>0</v>
      </c>
      <c r="I13">
        <v>4.9999999998817603E-4</v>
      </c>
      <c r="J13">
        <v>29.119999999999902</v>
      </c>
      <c r="K13">
        <v>58.076500000000003</v>
      </c>
      <c r="M13">
        <v>8669.0059999999994</v>
      </c>
      <c r="N13">
        <v>190440.18968250399</v>
      </c>
      <c r="O13">
        <v>181254.01052738601</v>
      </c>
      <c r="P13">
        <v>512900.88651811401</v>
      </c>
      <c r="Q13">
        <v>141206.686308223</v>
      </c>
      <c r="S13">
        <v>8669.0059999999994</v>
      </c>
      <c r="T13">
        <v>21136.896197944301</v>
      </c>
      <c r="U13">
        <v>118453.795669303</v>
      </c>
      <c r="V13">
        <v>177680.69300395501</v>
      </c>
      <c r="X13">
        <v>8669.0059999999994</v>
      </c>
      <c r="Y13">
        <v>-42010.457955760998</v>
      </c>
    </row>
    <row r="14" spans="7:25" x14ac:dyDescent="0.25">
      <c r="G14">
        <v>8670.0059999999994</v>
      </c>
      <c r="H14">
        <v>0</v>
      </c>
      <c r="I14">
        <v>4.9999999998817603E-4</v>
      </c>
      <c r="J14">
        <v>34.259999999999899</v>
      </c>
      <c r="K14">
        <v>58.148499999999999</v>
      </c>
      <c r="M14">
        <v>8670.0059999999994</v>
      </c>
      <c r="N14">
        <v>190440.18968250399</v>
      </c>
      <c r="O14">
        <v>181274.916527386</v>
      </c>
      <c r="P14">
        <v>512938.07951811398</v>
      </c>
      <c r="Q14">
        <v>141222.97330822301</v>
      </c>
      <c r="S14">
        <v>8670.0059999999994</v>
      </c>
      <c r="T14">
        <v>21136.9101979443</v>
      </c>
      <c r="U14">
        <v>118453.795669303</v>
      </c>
      <c r="V14">
        <v>177680.69300395501</v>
      </c>
      <c r="X14">
        <v>8670.0059999999994</v>
      </c>
      <c r="Y14">
        <v>-42013.006955760997</v>
      </c>
    </row>
    <row r="15" spans="7:25" x14ac:dyDescent="0.25">
      <c r="G15">
        <v>8671.0059999999994</v>
      </c>
      <c r="H15">
        <v>0</v>
      </c>
      <c r="I15">
        <v>4.9999999998817603E-4</v>
      </c>
      <c r="J15">
        <v>41.499999999999901</v>
      </c>
      <c r="K15">
        <v>57.941499999999998</v>
      </c>
      <c r="M15">
        <v>8671.0059999999994</v>
      </c>
      <c r="N15">
        <v>190440.18968250399</v>
      </c>
      <c r="O15">
        <v>181295.82252738599</v>
      </c>
      <c r="P15">
        <v>512975.27251811401</v>
      </c>
      <c r="Q15">
        <v>141239.26030822299</v>
      </c>
      <c r="S15">
        <v>8671.0059999999994</v>
      </c>
      <c r="T15">
        <v>21136.937197944299</v>
      </c>
      <c r="U15">
        <v>118453.795669303</v>
      </c>
      <c r="V15">
        <v>177680.69300395501</v>
      </c>
      <c r="X15">
        <v>8671.0059999999994</v>
      </c>
      <c r="Y15">
        <v>-42014.817955760998</v>
      </c>
    </row>
    <row r="16" spans="7:25" x14ac:dyDescent="0.25">
      <c r="G16">
        <v>8672.0059999999994</v>
      </c>
      <c r="H16">
        <v>0</v>
      </c>
      <c r="I16">
        <v>4.7499999999992298E-2</v>
      </c>
      <c r="J16">
        <v>54.839999999999897</v>
      </c>
      <c r="K16">
        <v>54.792499999999997</v>
      </c>
      <c r="M16">
        <v>8672.0059999999994</v>
      </c>
      <c r="N16">
        <v>190440.22468250399</v>
      </c>
      <c r="O16">
        <v>181316.728527386</v>
      </c>
      <c r="P16">
        <v>513012.49951811403</v>
      </c>
      <c r="Q16">
        <v>141255.547308223</v>
      </c>
      <c r="S16">
        <v>8672.0059999999994</v>
      </c>
      <c r="T16">
        <v>21136.937197944299</v>
      </c>
      <c r="U16">
        <v>118453.795669303</v>
      </c>
      <c r="V16">
        <v>177680.69300395501</v>
      </c>
      <c r="X16">
        <v>8672.0059999999994</v>
      </c>
      <c r="Y16">
        <v>-42014.809955760997</v>
      </c>
    </row>
    <row r="17" spans="7:25" x14ac:dyDescent="0.25">
      <c r="G17">
        <v>8673.0059999999994</v>
      </c>
      <c r="H17">
        <v>0.75</v>
      </c>
      <c r="I17">
        <v>13.9284999999999</v>
      </c>
      <c r="J17">
        <v>68.349999999999895</v>
      </c>
      <c r="K17">
        <v>53.671500000000002</v>
      </c>
      <c r="M17">
        <v>8673.0059999999994</v>
      </c>
      <c r="N17">
        <v>190450.64668250401</v>
      </c>
      <c r="O17">
        <v>181337.633527386</v>
      </c>
      <c r="P17">
        <v>513060.11451811402</v>
      </c>
      <c r="Q17">
        <v>141271.83430822301</v>
      </c>
      <c r="S17">
        <v>8673.0059999999994</v>
      </c>
      <c r="T17">
        <v>21136.937197944299</v>
      </c>
      <c r="U17">
        <v>118453.795669303</v>
      </c>
      <c r="V17">
        <v>177680.69300395501</v>
      </c>
      <c r="X17">
        <v>8673.0059999999994</v>
      </c>
      <c r="Y17">
        <v>-42012.512955760998</v>
      </c>
    </row>
    <row r="18" spans="7:25" x14ac:dyDescent="0.25">
      <c r="G18">
        <v>8674.0059999999994</v>
      </c>
      <c r="H18">
        <v>8.2010000000000005</v>
      </c>
      <c r="I18">
        <v>15.552499999999901</v>
      </c>
      <c r="J18">
        <v>78.469999999999899</v>
      </c>
      <c r="K18">
        <v>54.5565</v>
      </c>
      <c r="M18">
        <v>8674.0059999999994</v>
      </c>
      <c r="N18">
        <v>190462.17068250399</v>
      </c>
      <c r="O18">
        <v>181358.53952738599</v>
      </c>
      <c r="P18">
        <v>513108.83151811402</v>
      </c>
      <c r="Q18">
        <v>141288.12030822301</v>
      </c>
      <c r="S18">
        <v>8674.0059999999994</v>
      </c>
      <c r="T18">
        <v>21136.937197944299</v>
      </c>
      <c r="U18">
        <v>118453.822669303</v>
      </c>
      <c r="V18">
        <v>177680.73300395501</v>
      </c>
      <c r="X18">
        <v>8674.0059999999994</v>
      </c>
      <c r="Y18">
        <v>-42009.775955760997</v>
      </c>
    </row>
    <row r="19" spans="7:25" x14ac:dyDescent="0.25">
      <c r="G19">
        <v>8675.0059999999994</v>
      </c>
      <c r="H19">
        <v>19.18</v>
      </c>
      <c r="I19">
        <v>2.5494999999999801</v>
      </c>
      <c r="J19">
        <v>78.829999999999899</v>
      </c>
      <c r="K19">
        <v>56.099499999999999</v>
      </c>
      <c r="M19">
        <v>8675.0059999999994</v>
      </c>
      <c r="N19">
        <v>190465.06568250401</v>
      </c>
      <c r="O19">
        <v>181379.44552738601</v>
      </c>
      <c r="P19">
        <v>513148.91951811401</v>
      </c>
      <c r="Q19">
        <v>141304.40730822299</v>
      </c>
      <c r="S19">
        <v>8675.0059999999994</v>
      </c>
      <c r="T19">
        <v>21136.937197944299</v>
      </c>
      <c r="U19">
        <v>118454.03266930299</v>
      </c>
      <c r="V19">
        <v>177681.04900395501</v>
      </c>
      <c r="X19">
        <v>8675.0059999999994</v>
      </c>
      <c r="Y19">
        <v>-42009.295955761001</v>
      </c>
    </row>
    <row r="20" spans="7:25" x14ac:dyDescent="0.25">
      <c r="G20">
        <v>8676.0059999999994</v>
      </c>
      <c r="H20">
        <v>23.215</v>
      </c>
      <c r="I20">
        <v>-1.81050000000001</v>
      </c>
      <c r="J20">
        <v>72.899999999999906</v>
      </c>
      <c r="K20">
        <v>57.765500000000003</v>
      </c>
      <c r="M20">
        <v>8676.0059999999994</v>
      </c>
      <c r="N20">
        <v>190464.78468250399</v>
      </c>
      <c r="O20">
        <v>181400.351527386</v>
      </c>
      <c r="P20">
        <v>513185.83051811397</v>
      </c>
      <c r="Q20">
        <v>141320.694308223</v>
      </c>
      <c r="S20">
        <v>8676.0059999999994</v>
      </c>
      <c r="T20">
        <v>21138.101197944299</v>
      </c>
      <c r="U20">
        <v>118454.314669303</v>
      </c>
      <c r="V20">
        <v>177681.47200395499</v>
      </c>
      <c r="X20">
        <v>8676.0059999999994</v>
      </c>
      <c r="Y20">
        <v>-42011.212955761002</v>
      </c>
    </row>
    <row r="21" spans="7:25" x14ac:dyDescent="0.25">
      <c r="G21">
        <v>8677.0059999999994</v>
      </c>
      <c r="H21">
        <v>23.373000000000001</v>
      </c>
      <c r="I21">
        <v>-4.2075000000000102</v>
      </c>
      <c r="J21">
        <v>74.449999999999903</v>
      </c>
      <c r="K21">
        <v>56.141500000000001</v>
      </c>
      <c r="M21">
        <v>8677.0059999999994</v>
      </c>
      <c r="N21">
        <v>190464.14568250399</v>
      </c>
      <c r="O21">
        <v>181421.25752738601</v>
      </c>
      <c r="P21">
        <v>513222.38351811399</v>
      </c>
      <c r="Q21">
        <v>141336.98130822301</v>
      </c>
      <c r="S21">
        <v>8677.0059999999994</v>
      </c>
      <c r="T21">
        <v>21138.7991979443</v>
      </c>
      <c r="U21">
        <v>118454.95366930299</v>
      </c>
      <c r="V21">
        <v>177682.430003955</v>
      </c>
      <c r="X21">
        <v>8677.0059999999994</v>
      </c>
      <c r="Y21">
        <v>-42012.945955761003</v>
      </c>
    </row>
    <row r="22" spans="7:25" x14ac:dyDescent="0.25">
      <c r="G22">
        <v>8678.0059999999994</v>
      </c>
      <c r="H22">
        <v>15.975</v>
      </c>
      <c r="I22">
        <v>-0.23550000000000801</v>
      </c>
      <c r="J22">
        <v>69.849999999999895</v>
      </c>
      <c r="K22">
        <v>55.122500000000002</v>
      </c>
      <c r="M22">
        <v>8678.0059999999994</v>
      </c>
      <c r="N22">
        <v>190464.10568250401</v>
      </c>
      <c r="O22">
        <v>181442.163527386</v>
      </c>
      <c r="P22">
        <v>513259.53751811403</v>
      </c>
      <c r="Q22">
        <v>141353.26830822299</v>
      </c>
      <c r="S22">
        <v>8678.0059999999994</v>
      </c>
      <c r="T22">
        <v>21138.986197944301</v>
      </c>
      <c r="U22">
        <v>118454.992669303</v>
      </c>
      <c r="V22">
        <v>177682.48900395501</v>
      </c>
      <c r="X22">
        <v>8678.0059999999994</v>
      </c>
      <c r="Y22">
        <v>-42013.199955761003</v>
      </c>
    </row>
    <row r="23" spans="7:25" x14ac:dyDescent="0.25">
      <c r="G23">
        <v>8679.0059999999994</v>
      </c>
      <c r="H23">
        <v>3.62</v>
      </c>
      <c r="I23">
        <v>19.1784999999999</v>
      </c>
      <c r="J23">
        <v>77.559999999999903</v>
      </c>
      <c r="K23">
        <v>54.761499999999998</v>
      </c>
      <c r="M23">
        <v>8679.0059999999994</v>
      </c>
      <c r="N23">
        <v>190481.745682504</v>
      </c>
      <c r="O23">
        <v>181463.06952738599</v>
      </c>
      <c r="P23">
        <v>513314.37051811401</v>
      </c>
      <c r="Q23">
        <v>141369.55430822301</v>
      </c>
      <c r="S23">
        <v>8679.0059999999994</v>
      </c>
      <c r="T23">
        <v>21138.986197944301</v>
      </c>
      <c r="U23">
        <v>118454.992669303</v>
      </c>
      <c r="V23">
        <v>177682.48900395501</v>
      </c>
      <c r="X23">
        <v>8679.0059999999994</v>
      </c>
      <c r="Y23">
        <v>-42010.024955761</v>
      </c>
    </row>
    <row r="24" spans="7:25" x14ac:dyDescent="0.25">
      <c r="G24">
        <v>8680.0059999999994</v>
      </c>
      <c r="H24">
        <v>0.02</v>
      </c>
      <c r="I24">
        <v>32.138499999999901</v>
      </c>
      <c r="J24">
        <v>87.349999999999895</v>
      </c>
      <c r="K24">
        <v>55.191499999999998</v>
      </c>
      <c r="M24">
        <v>8680.0059999999994</v>
      </c>
      <c r="N24">
        <v>190518.188682504</v>
      </c>
      <c r="O24">
        <v>181483.97552738601</v>
      </c>
      <c r="P24">
        <v>513388.00551811402</v>
      </c>
      <c r="Q24">
        <v>141385.841308223</v>
      </c>
      <c r="S24">
        <v>8680.0059999999994</v>
      </c>
      <c r="T24">
        <v>21138.986197944301</v>
      </c>
      <c r="U24">
        <v>118454.992669303</v>
      </c>
      <c r="V24">
        <v>177682.48900395501</v>
      </c>
      <c r="X24">
        <v>8680.0059999999994</v>
      </c>
      <c r="Y24">
        <v>-42004.779955760998</v>
      </c>
    </row>
    <row r="25" spans="7:25" x14ac:dyDescent="0.25">
      <c r="G25">
        <v>8681.0059999999994</v>
      </c>
      <c r="H25">
        <v>0</v>
      </c>
      <c r="I25">
        <v>55.354499999999902</v>
      </c>
      <c r="J25">
        <v>110.05999999999899</v>
      </c>
      <c r="K25">
        <v>54.705500000000001</v>
      </c>
      <c r="M25">
        <v>8681.0059999999994</v>
      </c>
      <c r="N25">
        <v>190582.27668250399</v>
      </c>
      <c r="O25">
        <v>181504.88152738599</v>
      </c>
      <c r="P25">
        <v>513489.28651811398</v>
      </c>
      <c r="Q25">
        <v>141402.12830822301</v>
      </c>
      <c r="S25">
        <v>8681.0059999999994</v>
      </c>
      <c r="T25">
        <v>21138.986197944301</v>
      </c>
      <c r="U25">
        <v>118454.992669303</v>
      </c>
      <c r="V25">
        <v>177682.48900395501</v>
      </c>
      <c r="X25">
        <v>8681.0059999999994</v>
      </c>
      <c r="Y25">
        <v>-41994.830955760997</v>
      </c>
    </row>
    <row r="26" spans="7:25" x14ac:dyDescent="0.25">
      <c r="G26">
        <v>8682.0059999999994</v>
      </c>
      <c r="H26">
        <v>0</v>
      </c>
      <c r="I26">
        <v>61.984499999999898</v>
      </c>
      <c r="J26">
        <v>114.83999999999899</v>
      </c>
      <c r="K26">
        <v>52.855499999999999</v>
      </c>
      <c r="M26">
        <v>8682.0059999999994</v>
      </c>
      <c r="N26">
        <v>190655.89168250401</v>
      </c>
      <c r="O26">
        <v>181525.78652738599</v>
      </c>
      <c r="P26">
        <v>513600.09351811401</v>
      </c>
      <c r="Q26">
        <v>141418.41530822299</v>
      </c>
      <c r="S26">
        <v>8682.0059999999994</v>
      </c>
      <c r="T26">
        <v>21138.986197944301</v>
      </c>
      <c r="U26">
        <v>118454.992669303</v>
      </c>
      <c r="V26">
        <v>177682.48900395501</v>
      </c>
      <c r="X26">
        <v>8682.0059999999994</v>
      </c>
      <c r="Y26">
        <v>-41984.955955760997</v>
      </c>
    </row>
    <row r="27" spans="7:25" x14ac:dyDescent="0.25">
      <c r="G27">
        <v>8683.0059999999994</v>
      </c>
      <c r="H27">
        <v>0</v>
      </c>
      <c r="I27">
        <v>48.247499999999903</v>
      </c>
      <c r="J27">
        <v>99.809999999999903</v>
      </c>
      <c r="K27">
        <v>51.5625</v>
      </c>
      <c r="M27">
        <v>8683.0059999999994</v>
      </c>
      <c r="N27">
        <v>190712.61568250399</v>
      </c>
      <c r="O27">
        <v>181546.69252738601</v>
      </c>
      <c r="P27">
        <v>513694.01051811402</v>
      </c>
      <c r="Q27">
        <v>141434.702308223</v>
      </c>
      <c r="S27">
        <v>8683.0059999999994</v>
      </c>
      <c r="T27">
        <v>21138.986197944301</v>
      </c>
      <c r="U27">
        <v>118454.992669303</v>
      </c>
      <c r="V27">
        <v>177682.48900395501</v>
      </c>
      <c r="X27">
        <v>8683.0059999999994</v>
      </c>
      <c r="Y27">
        <v>-41977.451955760996</v>
      </c>
    </row>
    <row r="28" spans="7:25" x14ac:dyDescent="0.25">
      <c r="G28">
        <v>8684.0059999999994</v>
      </c>
      <c r="H28">
        <v>0</v>
      </c>
      <c r="I28">
        <v>35.890499999999903</v>
      </c>
      <c r="J28">
        <v>85.519999999999897</v>
      </c>
      <c r="K28">
        <v>49.6295</v>
      </c>
      <c r="M28">
        <v>8684.0059999999994</v>
      </c>
      <c r="N28">
        <v>190753.55368250399</v>
      </c>
      <c r="O28">
        <v>181567.598527386</v>
      </c>
      <c r="P28">
        <v>513772.14151811402</v>
      </c>
      <c r="Q28">
        <v>141450.98930822301</v>
      </c>
      <c r="S28">
        <v>8684.0059999999994</v>
      </c>
      <c r="T28">
        <v>21138.986197944301</v>
      </c>
      <c r="U28">
        <v>118454.992669303</v>
      </c>
      <c r="V28">
        <v>177682.48900395501</v>
      </c>
      <c r="X28">
        <v>8684.0059999999994</v>
      </c>
      <c r="Y28">
        <v>-41971.001955760999</v>
      </c>
    </row>
    <row r="29" spans="7:25" x14ac:dyDescent="0.25">
      <c r="G29">
        <v>8685.0059999999994</v>
      </c>
      <c r="H29">
        <v>0</v>
      </c>
      <c r="I29">
        <v>27.497499999999899</v>
      </c>
      <c r="J29">
        <v>75.589999999999904</v>
      </c>
      <c r="K29">
        <v>48.092500000000001</v>
      </c>
      <c r="M29">
        <v>8685.0059999999994</v>
      </c>
      <c r="N29">
        <v>190783.25768250399</v>
      </c>
      <c r="O29">
        <v>181588.50452738599</v>
      </c>
      <c r="P29">
        <v>513839.03751811403</v>
      </c>
      <c r="Q29">
        <v>141467.275308223</v>
      </c>
      <c r="S29">
        <v>8685.0059999999994</v>
      </c>
      <c r="T29">
        <v>21138.986197944301</v>
      </c>
      <c r="U29">
        <v>118454.992669303</v>
      </c>
      <c r="V29">
        <v>177682.48900395501</v>
      </c>
      <c r="X29">
        <v>8685.0059999999994</v>
      </c>
      <c r="Y29">
        <v>-41966.029955760998</v>
      </c>
    </row>
    <row r="30" spans="7:25" x14ac:dyDescent="0.25">
      <c r="G30">
        <v>8686.0059999999994</v>
      </c>
      <c r="H30">
        <v>0</v>
      </c>
      <c r="I30">
        <v>17.4104999999999</v>
      </c>
      <c r="J30">
        <v>64.029999999999902</v>
      </c>
      <c r="K30">
        <v>46.619500000000002</v>
      </c>
      <c r="M30">
        <v>8686.0059999999994</v>
      </c>
      <c r="N30">
        <v>190801.44068250401</v>
      </c>
      <c r="O30">
        <v>181609.410527386</v>
      </c>
      <c r="P30">
        <v>513894.41351811402</v>
      </c>
      <c r="Q30">
        <v>141483.56230822299</v>
      </c>
      <c r="S30">
        <v>8686.0059999999994</v>
      </c>
      <c r="T30">
        <v>21138.986197944301</v>
      </c>
      <c r="U30">
        <v>118454.992669303</v>
      </c>
      <c r="V30">
        <v>177682.48900395501</v>
      </c>
      <c r="X30">
        <v>8686.0059999999994</v>
      </c>
      <c r="Y30">
        <v>-41962.891955760999</v>
      </c>
    </row>
    <row r="31" spans="7:25" x14ac:dyDescent="0.25">
      <c r="G31">
        <v>8687.0059999999994</v>
      </c>
      <c r="H31">
        <v>0</v>
      </c>
      <c r="I31">
        <v>13.228499999999899</v>
      </c>
      <c r="J31">
        <v>51.1799999999999</v>
      </c>
      <c r="K31">
        <v>37.8125</v>
      </c>
      <c r="M31">
        <v>8687.0059999999994</v>
      </c>
      <c r="N31">
        <v>190815.18368250399</v>
      </c>
      <c r="O31">
        <v>181630.31652738599</v>
      </c>
      <c r="P31">
        <v>513945.349518114</v>
      </c>
      <c r="Q31">
        <v>141499.849308223</v>
      </c>
      <c r="S31">
        <v>8687.0059999999994</v>
      </c>
      <c r="T31">
        <v>21138.986197944301</v>
      </c>
      <c r="U31">
        <v>118455.02166930299</v>
      </c>
      <c r="V31">
        <v>177682.53200395501</v>
      </c>
      <c r="X31">
        <v>8687.0059999999994</v>
      </c>
      <c r="Y31">
        <v>-41959.745955760998</v>
      </c>
    </row>
    <row r="32" spans="7:25" x14ac:dyDescent="0.25">
      <c r="G32">
        <v>8688.0059999999994</v>
      </c>
      <c r="H32">
        <v>0</v>
      </c>
      <c r="I32">
        <v>13.4894999999999</v>
      </c>
      <c r="J32">
        <v>42.139999999999901</v>
      </c>
      <c r="K32">
        <v>28.650500000000001</v>
      </c>
      <c r="M32">
        <v>8688.0059999999994</v>
      </c>
      <c r="N32">
        <v>190830.701682504</v>
      </c>
      <c r="O32">
        <v>181651.22252738601</v>
      </c>
      <c r="P32">
        <v>513998.05951811402</v>
      </c>
      <c r="Q32">
        <v>141516.13630822301</v>
      </c>
      <c r="S32">
        <v>8688.0059999999994</v>
      </c>
      <c r="T32">
        <v>21138.986197944301</v>
      </c>
      <c r="U32">
        <v>118455.02166930299</v>
      </c>
      <c r="V32">
        <v>177682.53200395501</v>
      </c>
      <c r="X32">
        <v>8688.0059999999994</v>
      </c>
      <c r="Y32">
        <v>-41955.527955760997</v>
      </c>
    </row>
    <row r="33" spans="7:25" x14ac:dyDescent="0.25">
      <c r="G33">
        <v>8689.0059999999994</v>
      </c>
      <c r="H33">
        <v>0</v>
      </c>
      <c r="I33">
        <v>13.8204999999999</v>
      </c>
      <c r="J33">
        <v>36.769999999999897</v>
      </c>
      <c r="K33">
        <v>22.9495</v>
      </c>
      <c r="M33">
        <v>8689.0059999999994</v>
      </c>
      <c r="N33">
        <v>190846.58968250401</v>
      </c>
      <c r="O33">
        <v>181672.128527386</v>
      </c>
      <c r="P33">
        <v>514051.14051811403</v>
      </c>
      <c r="Q33">
        <v>141532.42330822299</v>
      </c>
      <c r="S33">
        <v>8689.0059999999994</v>
      </c>
      <c r="T33">
        <v>21138.986197944301</v>
      </c>
      <c r="U33">
        <v>118455.02166930299</v>
      </c>
      <c r="V33">
        <v>177682.53200395501</v>
      </c>
      <c r="X33">
        <v>8689.0059999999994</v>
      </c>
      <c r="Y33">
        <v>-41951.036955761003</v>
      </c>
    </row>
    <row r="34" spans="7:25" x14ac:dyDescent="0.25">
      <c r="G34">
        <v>8690.0059999999994</v>
      </c>
      <c r="H34">
        <v>0</v>
      </c>
      <c r="I34">
        <v>15.2614999999999</v>
      </c>
      <c r="J34">
        <v>33.149999999999899</v>
      </c>
      <c r="K34">
        <v>17.888500000000001</v>
      </c>
      <c r="M34">
        <v>8690.0059999999994</v>
      </c>
      <c r="N34">
        <v>190864.22468250399</v>
      </c>
      <c r="O34">
        <v>181693.03452738599</v>
      </c>
      <c r="P34">
        <v>514105.96851811401</v>
      </c>
      <c r="Q34">
        <v>141548.70930822301</v>
      </c>
      <c r="S34">
        <v>8690.0059999999994</v>
      </c>
      <c r="T34">
        <v>21138.986197944301</v>
      </c>
      <c r="U34">
        <v>118455.02166930299</v>
      </c>
      <c r="V34">
        <v>177682.53200395501</v>
      </c>
      <c r="X34">
        <v>8690.0059999999994</v>
      </c>
      <c r="Y34">
        <v>-41945.980955760999</v>
      </c>
    </row>
    <row r="35" spans="7:25" x14ac:dyDescent="0.25">
      <c r="G35">
        <v>8691.0059999999994</v>
      </c>
      <c r="H35">
        <v>0</v>
      </c>
      <c r="I35">
        <v>17.8324999999999</v>
      </c>
      <c r="J35">
        <v>31.799999999999901</v>
      </c>
      <c r="K35">
        <v>13.967499999999999</v>
      </c>
      <c r="M35">
        <v>8691.0059999999994</v>
      </c>
      <c r="N35">
        <v>190885.01668250401</v>
      </c>
      <c r="O35">
        <v>181713.93952738601</v>
      </c>
      <c r="P35">
        <v>514163.95351811399</v>
      </c>
      <c r="Q35">
        <v>141564.996308223</v>
      </c>
      <c r="S35">
        <v>8691.0059999999994</v>
      </c>
      <c r="T35">
        <v>21138.986197944301</v>
      </c>
      <c r="U35">
        <v>118455.02166930299</v>
      </c>
      <c r="V35">
        <v>177682.53200395501</v>
      </c>
      <c r="X35">
        <v>8691.0059999999994</v>
      </c>
      <c r="Y35">
        <v>-41939.166955761</v>
      </c>
    </row>
    <row r="36" spans="7:25" x14ac:dyDescent="0.25">
      <c r="G36">
        <v>8692.0059999999994</v>
      </c>
      <c r="H36">
        <v>0</v>
      </c>
      <c r="I36">
        <v>18.197499999999899</v>
      </c>
      <c r="J36">
        <v>29.939999999999898</v>
      </c>
      <c r="K36">
        <v>11.7425</v>
      </c>
      <c r="M36">
        <v>8692.0059999999994</v>
      </c>
      <c r="N36">
        <v>190907.511682504</v>
      </c>
      <c r="O36">
        <v>181734.845527386</v>
      </c>
      <c r="P36">
        <v>514223.64051811403</v>
      </c>
      <c r="Q36">
        <v>141581.28330822301</v>
      </c>
      <c r="S36">
        <v>8692.0059999999994</v>
      </c>
      <c r="T36">
        <v>21138.986197944301</v>
      </c>
      <c r="U36">
        <v>118455.02166930299</v>
      </c>
      <c r="V36">
        <v>177682.53200395501</v>
      </c>
      <c r="X36">
        <v>8692.0059999999994</v>
      </c>
      <c r="Y36">
        <v>-41931.249955760999</v>
      </c>
    </row>
    <row r="37" spans="7:25" x14ac:dyDescent="0.25">
      <c r="G37">
        <v>8693.0059999999994</v>
      </c>
      <c r="H37">
        <v>0</v>
      </c>
      <c r="I37">
        <v>22.796499999999899</v>
      </c>
      <c r="J37">
        <v>31.8599999999999</v>
      </c>
      <c r="K37">
        <v>9.0634999999999994</v>
      </c>
      <c r="M37">
        <v>8693.0059999999994</v>
      </c>
      <c r="N37">
        <v>190937.612682504</v>
      </c>
      <c r="O37">
        <v>181755.75152738599</v>
      </c>
      <c r="P37">
        <v>514290.93451811402</v>
      </c>
      <c r="Q37">
        <v>141597.57030822299</v>
      </c>
      <c r="S37">
        <v>8693.0059999999994</v>
      </c>
      <c r="T37">
        <v>21138.986197944301</v>
      </c>
      <c r="U37">
        <v>118455.02166930299</v>
      </c>
      <c r="V37">
        <v>177682.53200395501</v>
      </c>
      <c r="X37">
        <v>8693.0059999999994</v>
      </c>
      <c r="Y37">
        <v>-41920.872955760999</v>
      </c>
    </row>
    <row r="38" spans="7:25" x14ac:dyDescent="0.25">
      <c r="G38">
        <v>8694.0059999999994</v>
      </c>
      <c r="H38">
        <v>0</v>
      </c>
      <c r="I38">
        <v>34.586499999999901</v>
      </c>
      <c r="J38">
        <v>41.879999999999903</v>
      </c>
      <c r="K38">
        <v>7.2934999999999999</v>
      </c>
      <c r="M38">
        <v>8694.0059999999994</v>
      </c>
      <c r="N38">
        <v>190984.802682504</v>
      </c>
      <c r="O38">
        <v>181776.65752738601</v>
      </c>
      <c r="P38">
        <v>514375.317518114</v>
      </c>
      <c r="Q38">
        <v>141613.857308223</v>
      </c>
      <c r="S38">
        <v>8694.0059999999994</v>
      </c>
      <c r="T38">
        <v>21138.986197944301</v>
      </c>
      <c r="U38">
        <v>118455.02166930299</v>
      </c>
      <c r="V38">
        <v>177682.53200395501</v>
      </c>
      <c r="X38">
        <v>8694.0059999999994</v>
      </c>
      <c r="Y38">
        <v>-41903.128955761</v>
      </c>
    </row>
    <row r="39" spans="7:25" x14ac:dyDescent="0.25">
      <c r="G39">
        <v>8695.0059999999994</v>
      </c>
      <c r="H39">
        <v>0</v>
      </c>
      <c r="I39">
        <v>41.959499999999899</v>
      </c>
      <c r="J39">
        <v>48.639999999999901</v>
      </c>
      <c r="K39">
        <v>6.6805000000000003</v>
      </c>
      <c r="M39">
        <v>8695.0059999999994</v>
      </c>
      <c r="N39">
        <v>191047.06268250401</v>
      </c>
      <c r="O39">
        <v>181797.563527386</v>
      </c>
      <c r="P39">
        <v>514474.76951811399</v>
      </c>
      <c r="Q39">
        <v>141630.14430822301</v>
      </c>
      <c r="S39">
        <v>8695.0059999999994</v>
      </c>
      <c r="T39">
        <v>21138.986197944301</v>
      </c>
      <c r="U39">
        <v>118455.02166930299</v>
      </c>
      <c r="V39">
        <v>177682.53200395501</v>
      </c>
      <c r="X39">
        <v>8695.0059999999994</v>
      </c>
      <c r="Y39">
        <v>-41878.109955761</v>
      </c>
    </row>
    <row r="40" spans="7:25" x14ac:dyDescent="0.25">
      <c r="G40">
        <v>8696.0059999999994</v>
      </c>
      <c r="H40">
        <v>0.224</v>
      </c>
      <c r="I40">
        <v>46.201499999999903</v>
      </c>
      <c r="J40">
        <v>53.209999999999901</v>
      </c>
      <c r="K40">
        <v>6.7845000000000004</v>
      </c>
      <c r="M40">
        <v>8696.0059999999994</v>
      </c>
      <c r="N40">
        <v>191119.75168250399</v>
      </c>
      <c r="O40">
        <v>181818.46952738601</v>
      </c>
      <c r="P40">
        <v>514584.65151811403</v>
      </c>
      <c r="Q40">
        <v>141646.430308223</v>
      </c>
      <c r="S40">
        <v>8696.0059999999994</v>
      </c>
      <c r="T40">
        <v>21138.986197944301</v>
      </c>
      <c r="U40">
        <v>118455.02166930299</v>
      </c>
      <c r="V40">
        <v>177682.53200395501</v>
      </c>
      <c r="X40">
        <v>8696.0059999999994</v>
      </c>
      <c r="Y40">
        <v>-41849.129955760996</v>
      </c>
    </row>
    <row r="41" spans="7:25" x14ac:dyDescent="0.25">
      <c r="G41">
        <v>8697.0059999999994</v>
      </c>
      <c r="H41">
        <v>11.340999999999999</v>
      </c>
      <c r="I41">
        <v>45.308499999999903</v>
      </c>
      <c r="J41">
        <v>63.499999999999901</v>
      </c>
      <c r="K41">
        <v>6.8055000000000003</v>
      </c>
      <c r="M41">
        <v>8697.0059999999994</v>
      </c>
      <c r="N41">
        <v>191200.878682504</v>
      </c>
      <c r="O41">
        <v>181839.375527386</v>
      </c>
      <c r="P41">
        <v>514702.97151811398</v>
      </c>
      <c r="Q41">
        <v>141662.71730822299</v>
      </c>
      <c r="S41">
        <v>8697.0059999999994</v>
      </c>
      <c r="T41">
        <v>21138.986197944301</v>
      </c>
      <c r="U41">
        <v>118455.107669303</v>
      </c>
      <c r="V41">
        <v>177682.66200395499</v>
      </c>
      <c r="X41">
        <v>8697.0059999999994</v>
      </c>
      <c r="Y41">
        <v>-41819.288955761003</v>
      </c>
    </row>
    <row r="42" spans="7:25" x14ac:dyDescent="0.25">
      <c r="G42">
        <v>8698.0059999999994</v>
      </c>
      <c r="H42">
        <v>43.033999999999999</v>
      </c>
      <c r="I42">
        <v>18.2854999999999</v>
      </c>
      <c r="J42">
        <v>68.569999999999894</v>
      </c>
      <c r="K42">
        <v>5.6734999999999998</v>
      </c>
      <c r="M42">
        <v>8698.0059999999994</v>
      </c>
      <c r="N42">
        <v>191246.47868250401</v>
      </c>
      <c r="O42">
        <v>181860.28152738599</v>
      </c>
      <c r="P42">
        <v>514785.76451811398</v>
      </c>
      <c r="Q42">
        <v>141679.004308223</v>
      </c>
      <c r="S42">
        <v>8698.0059999999994</v>
      </c>
      <c r="T42">
        <v>21138.986197944301</v>
      </c>
      <c r="U42">
        <v>118458.251669303</v>
      </c>
      <c r="V42">
        <v>177687.37700395501</v>
      </c>
      <c r="X42">
        <v>8698.0059999999994</v>
      </c>
      <c r="Y42">
        <v>-41807.549955761002</v>
      </c>
    </row>
    <row r="43" spans="7:25" x14ac:dyDescent="0.25">
      <c r="G43">
        <v>8699.0059999999994</v>
      </c>
      <c r="H43">
        <v>62.78</v>
      </c>
      <c r="I43">
        <v>-0.132500000000007</v>
      </c>
      <c r="J43">
        <v>71.169999999999902</v>
      </c>
      <c r="K43">
        <v>5.6855000000000002</v>
      </c>
      <c r="M43">
        <v>8699.0059999999994</v>
      </c>
      <c r="N43">
        <v>191274.71668250399</v>
      </c>
      <c r="O43">
        <v>181881.18652738599</v>
      </c>
      <c r="P43">
        <v>514851.19451811397</v>
      </c>
      <c r="Q43">
        <v>141695.29130822301</v>
      </c>
      <c r="S43">
        <v>8699.0059999999994</v>
      </c>
      <c r="T43">
        <v>21138.986197944301</v>
      </c>
      <c r="U43">
        <v>118465.363669303</v>
      </c>
      <c r="V43">
        <v>177698.04500395499</v>
      </c>
      <c r="X43">
        <v>8699.0059999999994</v>
      </c>
      <c r="Y43">
        <v>-41807.633955760997</v>
      </c>
    </row>
    <row r="44" spans="7:25" x14ac:dyDescent="0.25">
      <c r="G44">
        <v>8700.0059999999994</v>
      </c>
      <c r="H44">
        <v>59.850999999999999</v>
      </c>
      <c r="I44">
        <v>-9.4685000000000095</v>
      </c>
      <c r="J44">
        <v>60.909999999999897</v>
      </c>
      <c r="K44">
        <v>7.1775000000000002</v>
      </c>
      <c r="M44">
        <v>8700.0059999999994</v>
      </c>
      <c r="N44">
        <v>191285.41768250399</v>
      </c>
      <c r="O44">
        <v>181902.092527386</v>
      </c>
      <c r="P44">
        <v>514899.088518114</v>
      </c>
      <c r="Q44">
        <v>141711.57830822299</v>
      </c>
      <c r="S44">
        <v>8700.0059999999994</v>
      </c>
      <c r="T44">
        <v>21138.986197944301</v>
      </c>
      <c r="U44">
        <v>118471.660669303</v>
      </c>
      <c r="V44">
        <v>177707.49100395499</v>
      </c>
      <c r="X44">
        <v>8700.0059999999994</v>
      </c>
      <c r="Y44">
        <v>-41813.299955761002</v>
      </c>
    </row>
    <row r="45" spans="7:25" x14ac:dyDescent="0.25">
      <c r="G45">
        <v>8701.0059999999994</v>
      </c>
      <c r="H45">
        <v>41.960999999999999</v>
      </c>
      <c r="I45">
        <v>5.0124999999999797</v>
      </c>
      <c r="J45">
        <v>60.499999999999901</v>
      </c>
      <c r="K45">
        <v>10.7155</v>
      </c>
      <c r="M45">
        <v>8701.0059999999994</v>
      </c>
      <c r="N45">
        <v>191304.691682504</v>
      </c>
      <c r="O45">
        <v>181922.99852738599</v>
      </c>
      <c r="P45">
        <v>514955.55551811401</v>
      </c>
      <c r="Q45">
        <v>141727.86430822301</v>
      </c>
      <c r="S45">
        <v>8701.0059999999994</v>
      </c>
      <c r="T45">
        <v>21138.986197944301</v>
      </c>
      <c r="U45">
        <v>118474.636669303</v>
      </c>
      <c r="V45">
        <v>177711.954003955</v>
      </c>
      <c r="X45">
        <v>8701.0059999999994</v>
      </c>
      <c r="Y45">
        <v>-41810.581955761001</v>
      </c>
    </row>
    <row r="46" spans="7:25" x14ac:dyDescent="0.25">
      <c r="G46">
        <v>8702.0059999999994</v>
      </c>
      <c r="H46">
        <v>18.206</v>
      </c>
      <c r="I46">
        <v>26.970499999999902</v>
      </c>
      <c r="J46">
        <v>61.509999999999899</v>
      </c>
      <c r="K46">
        <v>15.974500000000001</v>
      </c>
      <c r="M46">
        <v>8702.0059999999994</v>
      </c>
      <c r="N46">
        <v>191343.71968250399</v>
      </c>
      <c r="O46">
        <v>181943.90452738601</v>
      </c>
      <c r="P46">
        <v>515031.77551811398</v>
      </c>
      <c r="Q46">
        <v>141744.15130822299</v>
      </c>
      <c r="S46">
        <v>8702.0059999999994</v>
      </c>
      <c r="T46">
        <v>21138.986197944301</v>
      </c>
      <c r="U46">
        <v>118474.851669303</v>
      </c>
      <c r="V46">
        <v>177712.27700395501</v>
      </c>
      <c r="X46">
        <v>8702.0059999999994</v>
      </c>
      <c r="Y46">
        <v>-41797.814955761001</v>
      </c>
    </row>
    <row r="47" spans="7:25" x14ac:dyDescent="0.25">
      <c r="G47">
        <v>8703.0059999999994</v>
      </c>
      <c r="H47">
        <v>1.659</v>
      </c>
      <c r="I47">
        <v>40.926499999999898</v>
      </c>
      <c r="J47">
        <v>66.629999999999896</v>
      </c>
      <c r="K47">
        <v>24.045500000000001</v>
      </c>
      <c r="M47">
        <v>8703.0059999999994</v>
      </c>
      <c r="N47">
        <v>191401.117682504</v>
      </c>
      <c r="O47">
        <v>181964.810527386</v>
      </c>
      <c r="P47">
        <v>515126.36651811399</v>
      </c>
      <c r="Q47">
        <v>141760.43830822301</v>
      </c>
      <c r="S47">
        <v>8703.0059999999994</v>
      </c>
      <c r="T47">
        <v>21138.986197944301</v>
      </c>
      <c r="U47">
        <v>118474.851669303</v>
      </c>
      <c r="V47">
        <v>177712.27700395501</v>
      </c>
      <c r="X47">
        <v>8703.0059999999994</v>
      </c>
      <c r="Y47">
        <v>-41781.535955760999</v>
      </c>
    </row>
    <row r="48" spans="7:25" x14ac:dyDescent="0.25">
      <c r="G48">
        <v>8704.0059999999994</v>
      </c>
      <c r="H48">
        <v>7.0000000000000001E-3</v>
      </c>
      <c r="I48">
        <v>52.497499999999903</v>
      </c>
      <c r="J48">
        <v>85.229999999999905</v>
      </c>
      <c r="K48">
        <v>32.725499999999997</v>
      </c>
      <c r="M48">
        <v>8704.0059999999994</v>
      </c>
      <c r="N48">
        <v>191476.427682504</v>
      </c>
      <c r="O48">
        <v>181985.71652738599</v>
      </c>
      <c r="P48">
        <v>515238.86951811402</v>
      </c>
      <c r="Q48">
        <v>141776.72530822299</v>
      </c>
      <c r="S48">
        <v>8704.0059999999994</v>
      </c>
      <c r="T48">
        <v>21138.986197944301</v>
      </c>
      <c r="U48">
        <v>118474.851669303</v>
      </c>
      <c r="V48">
        <v>177712.27700395501</v>
      </c>
      <c r="X48">
        <v>8704.0059999999994</v>
      </c>
      <c r="Y48">
        <v>-41763.447955761003</v>
      </c>
    </row>
    <row r="49" spans="7:25" x14ac:dyDescent="0.25">
      <c r="G49">
        <v>8705.0059999999994</v>
      </c>
      <c r="H49">
        <v>0</v>
      </c>
      <c r="I49">
        <v>72.039499999999904</v>
      </c>
      <c r="J49">
        <v>110.709999999999</v>
      </c>
      <c r="K49">
        <v>38.670499999999997</v>
      </c>
      <c r="M49">
        <v>8705.0059999999994</v>
      </c>
      <c r="N49">
        <v>191576.87168250399</v>
      </c>
      <c r="O49">
        <v>182006.622527386</v>
      </c>
      <c r="P49">
        <v>515376.50551811402</v>
      </c>
      <c r="Q49">
        <v>141793.012308223</v>
      </c>
      <c r="S49">
        <v>8705.0059999999994</v>
      </c>
      <c r="T49">
        <v>21138.986197944301</v>
      </c>
      <c r="U49">
        <v>118474.851669303</v>
      </c>
      <c r="V49">
        <v>177712.27700395501</v>
      </c>
      <c r="X49">
        <v>8705.0059999999994</v>
      </c>
      <c r="Y49">
        <v>-41740.486955761</v>
      </c>
    </row>
    <row r="50" spans="7:25" x14ac:dyDescent="0.25">
      <c r="G50">
        <v>8706.0059999999994</v>
      </c>
      <c r="H50">
        <v>0</v>
      </c>
      <c r="I50">
        <v>74.920499999999905</v>
      </c>
      <c r="J50">
        <v>117.83999999999899</v>
      </c>
      <c r="K50">
        <v>42.919499999999999</v>
      </c>
      <c r="M50">
        <v>8706.0059999999994</v>
      </c>
      <c r="N50">
        <v>191677.80968250401</v>
      </c>
      <c r="O50">
        <v>182027.52852738599</v>
      </c>
      <c r="P50">
        <v>515514.63651811401</v>
      </c>
      <c r="Q50">
        <v>141809.29830822299</v>
      </c>
      <c r="S50">
        <v>8706.0059999999994</v>
      </c>
      <c r="T50">
        <v>21138.986197944301</v>
      </c>
      <c r="U50">
        <v>118474.851669303</v>
      </c>
      <c r="V50">
        <v>177712.27700395501</v>
      </c>
      <c r="X50">
        <v>8706.0059999999994</v>
      </c>
      <c r="Y50">
        <v>-41720.772955761</v>
      </c>
    </row>
    <row r="51" spans="7:25" x14ac:dyDescent="0.25">
      <c r="G51">
        <v>8707.0059999999994</v>
      </c>
      <c r="H51">
        <v>0</v>
      </c>
      <c r="I51">
        <v>49.0564999999999</v>
      </c>
      <c r="J51">
        <v>96.079999999999899</v>
      </c>
      <c r="K51">
        <v>47.023499999999999</v>
      </c>
      <c r="M51">
        <v>8707.0059999999994</v>
      </c>
      <c r="N51">
        <v>191737.973682504</v>
      </c>
      <c r="O51">
        <v>182048.43452738601</v>
      </c>
      <c r="P51">
        <v>515611.99351811397</v>
      </c>
      <c r="Q51">
        <v>141825.585308223</v>
      </c>
      <c r="S51">
        <v>8707.0059999999994</v>
      </c>
      <c r="T51">
        <v>21138.986197944301</v>
      </c>
      <c r="U51">
        <v>118474.851669303</v>
      </c>
      <c r="V51">
        <v>177712.27700395501</v>
      </c>
      <c r="X51">
        <v>8707.0059999999994</v>
      </c>
      <c r="Y51">
        <v>-41709.696955760999</v>
      </c>
    </row>
    <row r="52" spans="7:25" x14ac:dyDescent="0.25">
      <c r="G52">
        <v>8708.0059999999994</v>
      </c>
      <c r="H52">
        <v>0</v>
      </c>
      <c r="I52">
        <v>37.4104999999999</v>
      </c>
      <c r="J52">
        <v>89.249999999999901</v>
      </c>
      <c r="K52">
        <v>51.839500000000001</v>
      </c>
      <c r="M52">
        <v>8708.0059999999994</v>
      </c>
      <c r="N52">
        <v>191774.03168250399</v>
      </c>
      <c r="O52">
        <v>182069.33952738601</v>
      </c>
      <c r="P52">
        <v>515685.24351811397</v>
      </c>
      <c r="Q52">
        <v>141841.87230822301</v>
      </c>
      <c r="S52">
        <v>8708.0059999999994</v>
      </c>
      <c r="T52">
        <v>21138.986197944301</v>
      </c>
      <c r="U52">
        <v>118474.851669303</v>
      </c>
      <c r="V52">
        <v>177712.27700395501</v>
      </c>
      <c r="X52">
        <v>8708.0059999999994</v>
      </c>
      <c r="Y52">
        <v>-41702.587955761002</v>
      </c>
    </row>
    <row r="53" spans="7:25" x14ac:dyDescent="0.25">
      <c r="G53">
        <v>8709.0059999999994</v>
      </c>
      <c r="H53">
        <v>0</v>
      </c>
      <c r="I53">
        <v>18.514499999999899</v>
      </c>
      <c r="J53">
        <v>72.969999999999899</v>
      </c>
      <c r="K53">
        <v>54.455500000000001</v>
      </c>
      <c r="M53">
        <v>8709.0059999999994</v>
      </c>
      <c r="N53">
        <v>191791.544682504</v>
      </c>
      <c r="O53">
        <v>182090.245527386</v>
      </c>
      <c r="P53">
        <v>515739.94951811398</v>
      </c>
      <c r="Q53">
        <v>141858.159308223</v>
      </c>
      <c r="S53">
        <v>8709.0059999999994</v>
      </c>
      <c r="T53">
        <v>21138.986197944301</v>
      </c>
      <c r="U53">
        <v>118474.851669303</v>
      </c>
      <c r="V53">
        <v>177712.27700395501</v>
      </c>
      <c r="X53">
        <v>8709.0059999999994</v>
      </c>
      <c r="Y53">
        <v>-41699.186955760997</v>
      </c>
    </row>
    <row r="54" spans="7:25" x14ac:dyDescent="0.25">
      <c r="G54">
        <v>8710.0059999999994</v>
      </c>
      <c r="H54">
        <v>0</v>
      </c>
      <c r="I54">
        <v>10.3974999999999</v>
      </c>
      <c r="J54">
        <v>66.8599999999999</v>
      </c>
      <c r="K54">
        <v>56.462499999999999</v>
      </c>
      <c r="M54">
        <v>8710.0059999999994</v>
      </c>
      <c r="N54">
        <v>191801.09268250401</v>
      </c>
      <c r="O54">
        <v>182111.15152738601</v>
      </c>
      <c r="P54">
        <v>515786.69051811402</v>
      </c>
      <c r="Q54">
        <v>141874.44630822301</v>
      </c>
      <c r="S54">
        <v>8710.0059999999994</v>
      </c>
      <c r="T54">
        <v>21138.986197944301</v>
      </c>
      <c r="U54">
        <v>118474.851669303</v>
      </c>
      <c r="V54">
        <v>177712.27700395501</v>
      </c>
      <c r="X54">
        <v>8710.0059999999994</v>
      </c>
      <c r="Y54">
        <v>-41697.432955761004</v>
      </c>
    </row>
    <row r="55" spans="7:25" x14ac:dyDescent="0.25">
      <c r="G55">
        <v>8711.0059999999994</v>
      </c>
      <c r="H55">
        <v>0</v>
      </c>
      <c r="I55">
        <v>4.9999999998817603E-4</v>
      </c>
      <c r="J55">
        <v>55.309999999999903</v>
      </c>
      <c r="K55">
        <v>58.743499999999997</v>
      </c>
      <c r="M55">
        <v>8711.0059999999994</v>
      </c>
      <c r="N55">
        <v>191801.09268250401</v>
      </c>
      <c r="O55">
        <v>182132.057527386</v>
      </c>
      <c r="P55">
        <v>515823.88351811399</v>
      </c>
      <c r="Q55">
        <v>141890.73330822299</v>
      </c>
      <c r="S55">
        <v>8711.0059999999994</v>
      </c>
      <c r="T55">
        <v>21139.591197944301</v>
      </c>
      <c r="U55">
        <v>118474.851669303</v>
      </c>
      <c r="V55">
        <v>177712.27700395501</v>
      </c>
      <c r="X55">
        <v>8711.0059999999994</v>
      </c>
      <c r="Y55">
        <v>-41697.987955760997</v>
      </c>
    </row>
    <row r="56" spans="7:25" x14ac:dyDescent="0.25">
      <c r="G56">
        <v>8712.0059999999994</v>
      </c>
      <c r="H56">
        <v>0</v>
      </c>
      <c r="I56">
        <v>4.9999999998817603E-4</v>
      </c>
      <c r="J56">
        <v>43.079999999999899</v>
      </c>
      <c r="K56">
        <v>59.471499999999999</v>
      </c>
      <c r="M56">
        <v>8712.0059999999994</v>
      </c>
      <c r="N56">
        <v>191801.09268250401</v>
      </c>
      <c r="O56">
        <v>182152.96352738599</v>
      </c>
      <c r="P56">
        <v>515861.07651811402</v>
      </c>
      <c r="Q56">
        <v>141907.01930822301</v>
      </c>
      <c r="S56">
        <v>8712.0059999999994</v>
      </c>
      <c r="T56">
        <v>21143.145197944301</v>
      </c>
      <c r="U56">
        <v>118474.851669303</v>
      </c>
      <c r="V56">
        <v>177712.27700395501</v>
      </c>
      <c r="X56">
        <v>8712.0059999999994</v>
      </c>
      <c r="Y56">
        <v>-41700.560955761001</v>
      </c>
    </row>
    <row r="57" spans="7:25" x14ac:dyDescent="0.25">
      <c r="G57">
        <v>8713.0059999999994</v>
      </c>
      <c r="H57">
        <v>0</v>
      </c>
      <c r="I57">
        <v>4.9999999998817603E-4</v>
      </c>
      <c r="J57">
        <v>35.169999999999902</v>
      </c>
      <c r="K57">
        <v>59.5565</v>
      </c>
      <c r="M57">
        <v>8713.0059999999994</v>
      </c>
      <c r="N57">
        <v>191801.09268250401</v>
      </c>
      <c r="O57">
        <v>182173.86952738601</v>
      </c>
      <c r="P57">
        <v>515898.26951811399</v>
      </c>
      <c r="Q57">
        <v>141923.30630822299</v>
      </c>
      <c r="S57">
        <v>8713.0059999999994</v>
      </c>
      <c r="T57">
        <v>21148.3731979443</v>
      </c>
      <c r="U57">
        <v>118474.851669303</v>
      </c>
      <c r="V57">
        <v>177712.27700395501</v>
      </c>
      <c r="X57">
        <v>8713.0059999999994</v>
      </c>
      <c r="Y57">
        <v>-41704.006955760997</v>
      </c>
    </row>
    <row r="58" spans="7:25" x14ac:dyDescent="0.25">
      <c r="G58">
        <v>8714.0059999999994</v>
      </c>
      <c r="H58">
        <v>0</v>
      </c>
      <c r="I58">
        <v>4.9999999998817603E-4</v>
      </c>
      <c r="J58">
        <v>33.869999999999898</v>
      </c>
      <c r="K58">
        <v>61.149500000000003</v>
      </c>
      <c r="M58">
        <v>8714.0059999999994</v>
      </c>
      <c r="N58">
        <v>191801.09268250401</v>
      </c>
      <c r="O58">
        <v>182194.77552738599</v>
      </c>
      <c r="P58">
        <v>515935.46151811403</v>
      </c>
      <c r="Q58">
        <v>141939.593308223</v>
      </c>
      <c r="S58">
        <v>8714.0059999999994</v>
      </c>
      <c r="T58">
        <v>21154.1771979443</v>
      </c>
      <c r="U58">
        <v>118474.851669303</v>
      </c>
      <c r="V58">
        <v>177712.27700395501</v>
      </c>
      <c r="X58">
        <v>8714.0059999999994</v>
      </c>
      <c r="Y58">
        <v>-41708.000955761003</v>
      </c>
    </row>
    <row r="59" spans="7:25" x14ac:dyDescent="0.25">
      <c r="G59">
        <v>8715.0059999999994</v>
      </c>
      <c r="H59">
        <v>0</v>
      </c>
      <c r="I59">
        <v>4.9999999998817603E-4</v>
      </c>
      <c r="J59">
        <v>31.6299999999999</v>
      </c>
      <c r="K59">
        <v>63.689500000000002</v>
      </c>
      <c r="M59">
        <v>8715.0059999999994</v>
      </c>
      <c r="N59">
        <v>191801.09268250401</v>
      </c>
      <c r="O59">
        <v>182215.68152738601</v>
      </c>
      <c r="P59">
        <v>515972.654518114</v>
      </c>
      <c r="Q59">
        <v>141955.88030822299</v>
      </c>
      <c r="S59">
        <v>8715.0059999999994</v>
      </c>
      <c r="T59">
        <v>21160.826197944301</v>
      </c>
      <c r="U59">
        <v>118474.851669303</v>
      </c>
      <c r="V59">
        <v>177712.27700395501</v>
      </c>
      <c r="X59">
        <v>8715.0059999999994</v>
      </c>
      <c r="Y59">
        <v>-41713.204955761001</v>
      </c>
    </row>
    <row r="60" spans="7:25" x14ac:dyDescent="0.25">
      <c r="G60">
        <v>8716.0059999999994</v>
      </c>
      <c r="H60">
        <v>0</v>
      </c>
      <c r="I60">
        <v>4.9999999998817603E-4</v>
      </c>
      <c r="J60">
        <v>31.049999999999901</v>
      </c>
      <c r="K60">
        <v>65.239500000000007</v>
      </c>
      <c r="M60">
        <v>8716.0059999999994</v>
      </c>
      <c r="N60">
        <v>191801.09268250401</v>
      </c>
      <c r="O60">
        <v>182236.58652738601</v>
      </c>
      <c r="P60">
        <v>516009.84751811402</v>
      </c>
      <c r="Q60">
        <v>141972.167308223</v>
      </c>
      <c r="S60">
        <v>8716.0059999999994</v>
      </c>
      <c r="T60">
        <v>21167.977197944299</v>
      </c>
      <c r="U60">
        <v>118474.851669303</v>
      </c>
      <c r="V60">
        <v>177712.27700395501</v>
      </c>
      <c r="X60">
        <v>8716.0059999999994</v>
      </c>
      <c r="Y60">
        <v>-41718.052955760999</v>
      </c>
    </row>
    <row r="61" spans="7:25" x14ac:dyDescent="0.25">
      <c r="G61">
        <v>8717.0059999999994</v>
      </c>
      <c r="H61">
        <v>0</v>
      </c>
      <c r="I61">
        <v>-4.9500000000008898E-2</v>
      </c>
      <c r="J61">
        <v>33.509999999999899</v>
      </c>
      <c r="K61">
        <v>66.095500000000001</v>
      </c>
      <c r="M61">
        <v>8717.0059999999994</v>
      </c>
      <c r="N61">
        <v>191801.082682504</v>
      </c>
      <c r="O61">
        <v>182257.492527386</v>
      </c>
      <c r="P61">
        <v>516047.029518114</v>
      </c>
      <c r="Q61">
        <v>141988.45330822299</v>
      </c>
      <c r="S61">
        <v>8717.0059999999994</v>
      </c>
      <c r="T61">
        <v>21174.935197944302</v>
      </c>
      <c r="U61">
        <v>118474.86166930301</v>
      </c>
      <c r="V61">
        <v>177712.29300395501</v>
      </c>
      <c r="X61">
        <v>8717.0059999999994</v>
      </c>
      <c r="Y61">
        <v>-41722.482955760999</v>
      </c>
    </row>
    <row r="62" spans="7:25" x14ac:dyDescent="0.25">
      <c r="G62">
        <v>8718.0059999999994</v>
      </c>
      <c r="H62">
        <v>0</v>
      </c>
      <c r="I62">
        <v>4.9999999998817603E-4</v>
      </c>
      <c r="J62">
        <v>41.019999999999897</v>
      </c>
      <c r="K62">
        <v>67.032499999999999</v>
      </c>
      <c r="M62">
        <v>8718.0059999999994</v>
      </c>
      <c r="N62">
        <v>191801.082682504</v>
      </c>
      <c r="O62">
        <v>182278.39852738599</v>
      </c>
      <c r="P62">
        <v>516084.22151811398</v>
      </c>
      <c r="Q62">
        <v>142004.740308223</v>
      </c>
      <c r="S62">
        <v>8718.0059999999994</v>
      </c>
      <c r="T62">
        <v>21180.547197944299</v>
      </c>
      <c r="U62">
        <v>118474.86166930301</v>
      </c>
      <c r="V62">
        <v>177712.29300395501</v>
      </c>
      <c r="X62">
        <v>8718.0059999999994</v>
      </c>
      <c r="Y62">
        <v>-41726.380955761</v>
      </c>
    </row>
    <row r="63" spans="7:25" x14ac:dyDescent="0.25">
      <c r="G63">
        <v>8719.0059999999994</v>
      </c>
      <c r="H63">
        <v>0</v>
      </c>
      <c r="I63">
        <v>-7.9500000000010104E-2</v>
      </c>
      <c r="J63">
        <v>47.339999999999897</v>
      </c>
      <c r="K63">
        <v>67.865499999999997</v>
      </c>
      <c r="M63">
        <v>8719.0059999999994</v>
      </c>
      <c r="N63">
        <v>191801.06568250401</v>
      </c>
      <c r="O63">
        <v>182299.304527386</v>
      </c>
      <c r="P63">
        <v>516121.39751811401</v>
      </c>
      <c r="Q63">
        <v>142021.02730822301</v>
      </c>
      <c r="S63">
        <v>8719.0059999999994</v>
      </c>
      <c r="T63">
        <v>21184.969197944301</v>
      </c>
      <c r="U63">
        <v>118474.879669303</v>
      </c>
      <c r="V63">
        <v>177712.319003955</v>
      </c>
      <c r="X63">
        <v>8719.0059999999994</v>
      </c>
      <c r="Y63">
        <v>-41730.163955761003</v>
      </c>
    </row>
    <row r="64" spans="7:25" x14ac:dyDescent="0.25">
      <c r="G64">
        <v>8720.0059999999994</v>
      </c>
      <c r="H64">
        <v>0.02</v>
      </c>
      <c r="I64">
        <v>4.9999999998817603E-4</v>
      </c>
      <c r="J64">
        <v>61.1099999999999</v>
      </c>
      <c r="K64">
        <v>68.709500000000006</v>
      </c>
      <c r="M64">
        <v>8720.0059999999994</v>
      </c>
      <c r="N64">
        <v>191801.06568250401</v>
      </c>
      <c r="O64">
        <v>182320.21052738599</v>
      </c>
      <c r="P64">
        <v>516158.58951811399</v>
      </c>
      <c r="Q64">
        <v>142037.31430822299</v>
      </c>
      <c r="S64">
        <v>8720.0059999999994</v>
      </c>
      <c r="T64">
        <v>21186.620197944299</v>
      </c>
      <c r="U64">
        <v>118474.879669303</v>
      </c>
      <c r="V64">
        <v>177712.319003955</v>
      </c>
      <c r="X64">
        <v>8720.0059999999994</v>
      </c>
      <c r="Y64">
        <v>-41731.763955761002</v>
      </c>
    </row>
    <row r="65" spans="7:25" x14ac:dyDescent="0.25">
      <c r="G65">
        <v>8721.0059999999994</v>
      </c>
      <c r="H65">
        <v>2.1659999999999999</v>
      </c>
      <c r="I65">
        <v>4.9999999998817603E-4</v>
      </c>
      <c r="J65">
        <v>66.899999999999906</v>
      </c>
      <c r="K65">
        <v>69.078500000000005</v>
      </c>
      <c r="M65">
        <v>8721.0059999999994</v>
      </c>
      <c r="N65">
        <v>191801.06568250401</v>
      </c>
      <c r="O65">
        <v>182341.11652738601</v>
      </c>
      <c r="P65">
        <v>516195.78251811402</v>
      </c>
      <c r="Q65">
        <v>142053.60130822301</v>
      </c>
      <c r="S65">
        <v>8721.0059999999994</v>
      </c>
      <c r="T65">
        <v>21187.5681979443</v>
      </c>
      <c r="U65">
        <v>118474.879669303</v>
      </c>
      <c r="V65">
        <v>177712.319003955</v>
      </c>
      <c r="X65">
        <v>8721.0059999999994</v>
      </c>
      <c r="Y65">
        <v>-41732.669955760997</v>
      </c>
    </row>
    <row r="66" spans="7:25" x14ac:dyDescent="0.25">
      <c r="G66">
        <v>8722.0059999999994</v>
      </c>
      <c r="H66">
        <v>8.4580000000000002</v>
      </c>
      <c r="I66">
        <v>-0.14550000000001201</v>
      </c>
      <c r="J66">
        <v>63.209999999999901</v>
      </c>
      <c r="K66">
        <v>69.860500000000002</v>
      </c>
      <c r="M66">
        <v>8722.0059999999994</v>
      </c>
      <c r="N66">
        <v>191801.033682504</v>
      </c>
      <c r="O66">
        <v>182362.022527386</v>
      </c>
      <c r="P66">
        <v>516232.94351811399</v>
      </c>
      <c r="Q66">
        <v>142069.88830822299</v>
      </c>
      <c r="S66">
        <v>8722.0059999999994</v>
      </c>
      <c r="T66">
        <v>21190.865197944298</v>
      </c>
      <c r="U66">
        <v>118474.910669303</v>
      </c>
      <c r="V66">
        <v>177712.36700395501</v>
      </c>
      <c r="X66">
        <v>8722.0059999999994</v>
      </c>
      <c r="Y66">
        <v>-41735.783955760999</v>
      </c>
    </row>
    <row r="67" spans="7:25" x14ac:dyDescent="0.25">
      <c r="G67">
        <v>8723.0059999999994</v>
      </c>
      <c r="H67">
        <v>13.75</v>
      </c>
      <c r="I67">
        <v>-0.58750000000001201</v>
      </c>
      <c r="J67">
        <v>64.159999999999897</v>
      </c>
      <c r="K67">
        <v>68.563500000000005</v>
      </c>
      <c r="M67">
        <v>8723.0059999999994</v>
      </c>
      <c r="N67">
        <v>191800.90468250401</v>
      </c>
      <c r="O67">
        <v>182382.92852738599</v>
      </c>
      <c r="P67">
        <v>516270.007518114</v>
      </c>
      <c r="Q67">
        <v>142086.17430822301</v>
      </c>
      <c r="S67">
        <v>8723.0059999999994</v>
      </c>
      <c r="T67">
        <v>21194.809197944302</v>
      </c>
      <c r="U67">
        <v>118475.03966930301</v>
      </c>
      <c r="V67">
        <v>177712.55900395499</v>
      </c>
      <c r="X67">
        <v>8723.0059999999994</v>
      </c>
      <c r="Y67">
        <v>-41739.676955761002</v>
      </c>
    </row>
    <row r="68" spans="7:25" x14ac:dyDescent="0.25">
      <c r="G68">
        <v>8724.0059999999994</v>
      </c>
      <c r="H68">
        <v>14.612</v>
      </c>
      <c r="I68">
        <v>-3.0935000000000099</v>
      </c>
      <c r="J68">
        <v>63.189999999999898</v>
      </c>
      <c r="K68">
        <v>66.4435</v>
      </c>
      <c r="M68">
        <v>8724.0059999999994</v>
      </c>
      <c r="N68">
        <v>191800.218682504</v>
      </c>
      <c r="O68">
        <v>182403.834527386</v>
      </c>
      <c r="P68">
        <v>516306.51451811398</v>
      </c>
      <c r="Q68">
        <v>142102.46130822299</v>
      </c>
      <c r="S68">
        <v>8724.0059999999994</v>
      </c>
      <c r="T68">
        <v>21198.742197944299</v>
      </c>
      <c r="U68">
        <v>118475.72566930301</v>
      </c>
      <c r="V68">
        <v>177713.588003955</v>
      </c>
      <c r="X68">
        <v>8724.0059999999994</v>
      </c>
      <c r="Y68">
        <v>-41744.166955761</v>
      </c>
    </row>
    <row r="69" spans="7:25" x14ac:dyDescent="0.25">
      <c r="G69">
        <v>8725.0059999999994</v>
      </c>
      <c r="H69">
        <v>12.387</v>
      </c>
      <c r="I69">
        <v>-1.9500000000007799E-2</v>
      </c>
      <c r="J69">
        <v>66.649999999999906</v>
      </c>
      <c r="K69">
        <v>65.535499999999999</v>
      </c>
      <c r="M69">
        <v>8725.0059999999994</v>
      </c>
      <c r="N69">
        <v>191800.21468250401</v>
      </c>
      <c r="O69">
        <v>182424.739527386</v>
      </c>
      <c r="P69">
        <v>516343.70251811401</v>
      </c>
      <c r="Q69">
        <v>142118.748308223</v>
      </c>
      <c r="S69">
        <v>8725.0059999999994</v>
      </c>
      <c r="T69">
        <v>21201.244197944299</v>
      </c>
      <c r="U69">
        <v>118475.72966930299</v>
      </c>
      <c r="V69">
        <v>177713.59500395501</v>
      </c>
      <c r="X69">
        <v>8725.0059999999994</v>
      </c>
      <c r="Y69">
        <v>-41746.767955761003</v>
      </c>
    </row>
    <row r="70" spans="7:25" x14ac:dyDescent="0.25">
      <c r="G70">
        <v>8726.0059999999994</v>
      </c>
      <c r="H70">
        <v>6.9379999999999997</v>
      </c>
      <c r="I70">
        <v>-0.325500000000012</v>
      </c>
      <c r="J70">
        <v>63.389999999999901</v>
      </c>
      <c r="K70">
        <v>61.049500000000002</v>
      </c>
      <c r="M70">
        <v>8726.0059999999994</v>
      </c>
      <c r="N70">
        <v>191800.14168250401</v>
      </c>
      <c r="O70">
        <v>182445.64552738599</v>
      </c>
      <c r="P70">
        <v>516380.822518114</v>
      </c>
      <c r="Q70">
        <v>142135.03530822301</v>
      </c>
      <c r="S70">
        <v>8726.0059999999994</v>
      </c>
      <c r="T70">
        <v>21202.2661979443</v>
      </c>
      <c r="U70">
        <v>118475.802669303</v>
      </c>
      <c r="V70">
        <v>177713.704003955</v>
      </c>
      <c r="X70">
        <v>8726.0059999999994</v>
      </c>
      <c r="Y70">
        <v>-41747.966955761003</v>
      </c>
    </row>
    <row r="71" spans="7:25" x14ac:dyDescent="0.25">
      <c r="G71">
        <v>8727.0059999999994</v>
      </c>
      <c r="H71">
        <v>0.98699999999999999</v>
      </c>
      <c r="I71">
        <v>21.657499999999899</v>
      </c>
      <c r="J71">
        <v>77.489999999999895</v>
      </c>
      <c r="K71">
        <v>54.844499999999996</v>
      </c>
      <c r="M71">
        <v>8727.0059999999994</v>
      </c>
      <c r="N71">
        <v>191824.13468250399</v>
      </c>
      <c r="O71">
        <v>182466.55152738601</v>
      </c>
      <c r="P71">
        <v>516442.00851811399</v>
      </c>
      <c r="Q71">
        <v>142151.322308223</v>
      </c>
      <c r="S71">
        <v>8727.0059999999994</v>
      </c>
      <c r="T71">
        <v>21202.2661979443</v>
      </c>
      <c r="U71">
        <v>118475.802669303</v>
      </c>
      <c r="V71">
        <v>177713.704003955</v>
      </c>
      <c r="X71">
        <v>8727.0059999999994</v>
      </c>
      <c r="Y71">
        <v>-41741.861955761</v>
      </c>
    </row>
    <row r="72" spans="7:25" x14ac:dyDescent="0.25">
      <c r="G72">
        <v>8728.0059999999994</v>
      </c>
      <c r="H72">
        <v>7.0000000000000001E-3</v>
      </c>
      <c r="I72">
        <v>34.503499999999903</v>
      </c>
      <c r="J72">
        <v>84.709999999999894</v>
      </c>
      <c r="K72">
        <v>50.1995</v>
      </c>
      <c r="M72">
        <v>8728.0059999999994</v>
      </c>
      <c r="N72">
        <v>191864.59768250401</v>
      </c>
      <c r="O72">
        <v>182487.457527386</v>
      </c>
      <c r="P72">
        <v>516519.66351811402</v>
      </c>
      <c r="Q72">
        <v>142167.60830822299</v>
      </c>
      <c r="S72">
        <v>8728.0059999999994</v>
      </c>
      <c r="T72">
        <v>21202.2661979443</v>
      </c>
      <c r="U72">
        <v>118475.802669303</v>
      </c>
      <c r="V72">
        <v>177713.704003955</v>
      </c>
      <c r="X72">
        <v>8728.0059999999994</v>
      </c>
      <c r="Y72">
        <v>-41731.550955760998</v>
      </c>
    </row>
    <row r="73" spans="7:25" x14ac:dyDescent="0.25">
      <c r="G73">
        <v>8729.0059999999994</v>
      </c>
      <c r="H73">
        <v>0</v>
      </c>
      <c r="I73">
        <v>58.9194999999999</v>
      </c>
      <c r="J73">
        <v>108.789999999999</v>
      </c>
      <c r="K73">
        <v>49.8705</v>
      </c>
      <c r="M73">
        <v>8729.0059999999994</v>
      </c>
      <c r="N73">
        <v>191937.20968250401</v>
      </c>
      <c r="O73">
        <v>182508.36352738601</v>
      </c>
      <c r="P73">
        <v>516629.46851811401</v>
      </c>
      <c r="Q73">
        <v>142183.895308223</v>
      </c>
      <c r="S73">
        <v>8729.0059999999994</v>
      </c>
      <c r="T73">
        <v>21202.2661979443</v>
      </c>
      <c r="U73">
        <v>118475.802669303</v>
      </c>
      <c r="V73">
        <v>177713.704003955</v>
      </c>
      <c r="X73">
        <v>8729.0059999999994</v>
      </c>
      <c r="Y73">
        <v>-41713.007955761001</v>
      </c>
    </row>
    <row r="74" spans="7:25" x14ac:dyDescent="0.25">
      <c r="G74">
        <v>8730.0059999999994</v>
      </c>
      <c r="H74">
        <v>0</v>
      </c>
      <c r="I74">
        <v>53.5994999999999</v>
      </c>
      <c r="J74">
        <v>105.819999999999</v>
      </c>
      <c r="K74">
        <v>52.220500000000001</v>
      </c>
      <c r="M74">
        <v>8730.0059999999994</v>
      </c>
      <c r="N74">
        <v>192001.824682504</v>
      </c>
      <c r="O74">
        <v>182529.269527386</v>
      </c>
      <c r="P74">
        <v>516731.27651811403</v>
      </c>
      <c r="Q74">
        <v>142200.18230822301</v>
      </c>
      <c r="S74">
        <v>8730.0059999999994</v>
      </c>
      <c r="T74">
        <v>21202.2661979443</v>
      </c>
      <c r="U74">
        <v>118475.802669303</v>
      </c>
      <c r="V74">
        <v>177713.704003955</v>
      </c>
      <c r="X74">
        <v>8730.0059999999994</v>
      </c>
      <c r="Y74">
        <v>-41696.890955761002</v>
      </c>
    </row>
    <row r="75" spans="7:25" x14ac:dyDescent="0.25">
      <c r="G75">
        <v>8731.0059999999994</v>
      </c>
      <c r="H75">
        <v>0</v>
      </c>
      <c r="I75">
        <v>38.647499999999901</v>
      </c>
      <c r="J75">
        <v>88.809999999999903</v>
      </c>
      <c r="K75">
        <v>50.162500000000001</v>
      </c>
      <c r="M75">
        <v>8731.0059999999994</v>
      </c>
      <c r="N75">
        <v>192047.80968250401</v>
      </c>
      <c r="O75">
        <v>182550.17552738599</v>
      </c>
      <c r="P75">
        <v>516814.45451811398</v>
      </c>
      <c r="Q75">
        <v>142216.46930822299</v>
      </c>
      <c r="S75">
        <v>8731.0059999999994</v>
      </c>
      <c r="T75">
        <v>21202.2661979443</v>
      </c>
      <c r="U75">
        <v>118475.802669303</v>
      </c>
      <c r="V75">
        <v>177713.704003955</v>
      </c>
      <c r="X75">
        <v>8731.0059999999994</v>
      </c>
      <c r="Y75">
        <v>-41685.929955760999</v>
      </c>
    </row>
    <row r="76" spans="7:25" x14ac:dyDescent="0.25">
      <c r="G76">
        <v>8732.0059999999994</v>
      </c>
      <c r="H76">
        <v>0</v>
      </c>
      <c r="I76">
        <v>41.701499999999903</v>
      </c>
      <c r="J76">
        <v>89.599999999999895</v>
      </c>
      <c r="K76">
        <v>47.898499999999999</v>
      </c>
      <c r="M76">
        <v>8732.0059999999994</v>
      </c>
      <c r="N76">
        <v>192097.33668250401</v>
      </c>
      <c r="O76">
        <v>182571.08152738601</v>
      </c>
      <c r="P76">
        <v>516901.17351811402</v>
      </c>
      <c r="Q76">
        <v>142232.756308223</v>
      </c>
      <c r="S76">
        <v>8732.0059999999994</v>
      </c>
      <c r="T76">
        <v>21202.2661979443</v>
      </c>
      <c r="U76">
        <v>118475.802669303</v>
      </c>
      <c r="V76">
        <v>177713.704003955</v>
      </c>
      <c r="X76">
        <v>8732.0059999999994</v>
      </c>
      <c r="Y76">
        <v>-41676.225955761001</v>
      </c>
    </row>
    <row r="77" spans="7:25" x14ac:dyDescent="0.25">
      <c r="G77">
        <v>8733.0059999999994</v>
      </c>
      <c r="H77">
        <v>0</v>
      </c>
      <c r="I77">
        <v>37.764499999999899</v>
      </c>
      <c r="J77">
        <v>83.809999999999903</v>
      </c>
      <c r="K77">
        <v>46.045499999999997</v>
      </c>
      <c r="M77">
        <v>8733.0059999999994</v>
      </c>
      <c r="N77">
        <v>192142.32768250399</v>
      </c>
      <c r="O77">
        <v>182591.98652738601</v>
      </c>
      <c r="P77">
        <v>516983.35751811397</v>
      </c>
      <c r="Q77">
        <v>142249.042308223</v>
      </c>
      <c r="S77">
        <v>8733.0059999999994</v>
      </c>
      <c r="T77">
        <v>21202.2661979443</v>
      </c>
      <c r="U77">
        <v>118475.802669303</v>
      </c>
      <c r="V77">
        <v>177713.704003955</v>
      </c>
      <c r="X77">
        <v>8733.0059999999994</v>
      </c>
      <c r="Y77">
        <v>-41667.340955760999</v>
      </c>
    </row>
    <row r="78" spans="7:25" x14ac:dyDescent="0.25">
      <c r="G78">
        <v>8734.0059999999994</v>
      </c>
      <c r="H78">
        <v>0</v>
      </c>
      <c r="I78">
        <v>26.8704999999999</v>
      </c>
      <c r="J78">
        <v>71.009999999999906</v>
      </c>
      <c r="K78">
        <v>44.139499999999998</v>
      </c>
      <c r="M78">
        <v>8734.0059999999994</v>
      </c>
      <c r="N78">
        <v>192172.155682504</v>
      </c>
      <c r="O78">
        <v>182612.89252738599</v>
      </c>
      <c r="P78">
        <v>517050.37851811398</v>
      </c>
      <c r="Q78">
        <v>142265.32930822301</v>
      </c>
      <c r="S78">
        <v>8734.0059999999994</v>
      </c>
      <c r="T78">
        <v>21202.2661979443</v>
      </c>
      <c r="U78">
        <v>118475.802669303</v>
      </c>
      <c r="V78">
        <v>177713.704003955</v>
      </c>
      <c r="X78">
        <v>8734.0059999999994</v>
      </c>
      <c r="Y78">
        <v>-41661.802955760999</v>
      </c>
    </row>
    <row r="79" spans="7:25" x14ac:dyDescent="0.25">
      <c r="G79">
        <v>8735.0059999999994</v>
      </c>
      <c r="H79">
        <v>0</v>
      </c>
      <c r="I79">
        <v>16.531499999999902</v>
      </c>
      <c r="J79">
        <v>58.649999999999899</v>
      </c>
      <c r="K79">
        <v>42.118499999999997</v>
      </c>
      <c r="M79">
        <v>8735.0059999999994</v>
      </c>
      <c r="N79">
        <v>192190.03768250399</v>
      </c>
      <c r="O79">
        <v>182633.79852738601</v>
      </c>
      <c r="P79">
        <v>517105.45251811401</v>
      </c>
      <c r="Q79">
        <v>142281.61630822299</v>
      </c>
      <c r="S79">
        <v>8735.0059999999994</v>
      </c>
      <c r="T79">
        <v>21202.2661979443</v>
      </c>
      <c r="U79">
        <v>118475.802669303</v>
      </c>
      <c r="V79">
        <v>177713.704003955</v>
      </c>
      <c r="X79">
        <v>8735.0059999999994</v>
      </c>
      <c r="Y79">
        <v>-41658.383955760997</v>
      </c>
    </row>
    <row r="80" spans="7:25" x14ac:dyDescent="0.25">
      <c r="G80">
        <v>8736.0059999999994</v>
      </c>
      <c r="H80">
        <v>0</v>
      </c>
      <c r="I80">
        <v>4.9999999998817603E-4</v>
      </c>
      <c r="J80">
        <v>44.729999999999897</v>
      </c>
      <c r="K80">
        <v>44.733499999999999</v>
      </c>
      <c r="M80">
        <v>8736.0059999999994</v>
      </c>
      <c r="N80">
        <v>192190.03768250399</v>
      </c>
      <c r="O80">
        <v>182654.704527386</v>
      </c>
      <c r="P80">
        <v>517142.64551811398</v>
      </c>
      <c r="Q80">
        <v>142297.903308223</v>
      </c>
      <c r="S80">
        <v>8736.0059999999994</v>
      </c>
      <c r="T80">
        <v>21202.2671979443</v>
      </c>
      <c r="U80">
        <v>118475.802669303</v>
      </c>
      <c r="V80">
        <v>177713.704003955</v>
      </c>
      <c r="X80">
        <v>8736.0059999999994</v>
      </c>
      <c r="Y80">
        <v>-41658.383955760997</v>
      </c>
    </row>
    <row r="81" spans="7:25" x14ac:dyDescent="0.25">
      <c r="G81">
        <v>8737.0059999999994</v>
      </c>
      <c r="H81">
        <v>0</v>
      </c>
      <c r="I81">
        <v>4.9999999998817603E-4</v>
      </c>
      <c r="J81">
        <v>36.5399999999999</v>
      </c>
      <c r="K81">
        <v>45.066499999999998</v>
      </c>
      <c r="M81">
        <v>8737.0059999999994</v>
      </c>
      <c r="N81">
        <v>192190.03768250399</v>
      </c>
      <c r="O81">
        <v>182675.61052738599</v>
      </c>
      <c r="P81">
        <v>517179.838518114</v>
      </c>
      <c r="Q81">
        <v>142314.19030822301</v>
      </c>
      <c r="S81">
        <v>8737.0059999999994</v>
      </c>
      <c r="T81">
        <v>21204.096197944298</v>
      </c>
      <c r="U81">
        <v>118475.802669303</v>
      </c>
      <c r="V81">
        <v>177713.704003955</v>
      </c>
      <c r="X81">
        <v>8737.0059999999994</v>
      </c>
      <c r="Y81">
        <v>-41659.955955760997</v>
      </c>
    </row>
    <row r="82" spans="7:25" x14ac:dyDescent="0.25">
      <c r="G82">
        <v>8738.0059999999994</v>
      </c>
      <c r="H82">
        <v>0</v>
      </c>
      <c r="I82">
        <v>4.9999999998817603E-4</v>
      </c>
      <c r="J82">
        <v>33.5399999999999</v>
      </c>
      <c r="K82">
        <v>43.769500000000001</v>
      </c>
      <c r="M82">
        <v>8738.0059999999994</v>
      </c>
      <c r="N82">
        <v>192190.03768250399</v>
      </c>
      <c r="O82">
        <v>182696.516527386</v>
      </c>
      <c r="P82">
        <v>517217.03151811397</v>
      </c>
      <c r="Q82">
        <v>142330.47730822299</v>
      </c>
      <c r="S82">
        <v>8738.0059999999994</v>
      </c>
      <c r="T82">
        <v>21206.236197944301</v>
      </c>
      <c r="U82">
        <v>118475.802669303</v>
      </c>
      <c r="V82">
        <v>177713.704003955</v>
      </c>
      <c r="X82">
        <v>8738.0059999999994</v>
      </c>
      <c r="Y82">
        <v>-41661.858955761003</v>
      </c>
    </row>
    <row r="83" spans="7:25" x14ac:dyDescent="0.25">
      <c r="G83">
        <v>8739.0059999999994</v>
      </c>
      <c r="H83">
        <v>0</v>
      </c>
      <c r="I83">
        <v>4.9999999998817603E-4</v>
      </c>
      <c r="J83">
        <v>29.5199999999999</v>
      </c>
      <c r="K83">
        <v>43.8125</v>
      </c>
      <c r="M83">
        <v>8739.0059999999994</v>
      </c>
      <c r="N83">
        <v>192190.03768250399</v>
      </c>
      <c r="O83">
        <v>182717.42252738599</v>
      </c>
      <c r="P83">
        <v>517254.22351811401</v>
      </c>
      <c r="Q83">
        <v>142346.76330822299</v>
      </c>
      <c r="S83">
        <v>8739.0059999999994</v>
      </c>
      <c r="T83">
        <v>21209.225197944299</v>
      </c>
      <c r="U83">
        <v>118475.802669303</v>
      </c>
      <c r="V83">
        <v>177713.704003955</v>
      </c>
      <c r="X83">
        <v>8739.0059999999994</v>
      </c>
      <c r="Y83">
        <v>-41664.507955761001</v>
      </c>
    </row>
    <row r="84" spans="7:25" x14ac:dyDescent="0.25">
      <c r="G84">
        <v>8740.0059999999994</v>
      </c>
      <c r="H84">
        <v>0</v>
      </c>
      <c r="I84">
        <v>4.9999999998817603E-4</v>
      </c>
      <c r="J84">
        <v>28.959999999999901</v>
      </c>
      <c r="K84">
        <v>44.345500000000001</v>
      </c>
      <c r="M84">
        <v>8740.0059999999994</v>
      </c>
      <c r="N84">
        <v>192190.03768250399</v>
      </c>
      <c r="O84">
        <v>182738.32852738601</v>
      </c>
      <c r="P84">
        <v>517291.41651811398</v>
      </c>
      <c r="Q84">
        <v>142363.050308223</v>
      </c>
      <c r="S84">
        <v>8740.0059999999994</v>
      </c>
      <c r="T84">
        <v>21212.6041979443</v>
      </c>
      <c r="U84">
        <v>118475.802669303</v>
      </c>
      <c r="V84">
        <v>177713.704003955</v>
      </c>
      <c r="X84">
        <v>8740.0059999999994</v>
      </c>
      <c r="Y84">
        <v>-41667.312955761001</v>
      </c>
    </row>
    <row r="85" spans="7:25" x14ac:dyDescent="0.25">
      <c r="G85">
        <v>8741.0059999999994</v>
      </c>
      <c r="H85">
        <v>0</v>
      </c>
      <c r="I85">
        <v>4.9999999998817603E-4</v>
      </c>
      <c r="J85">
        <v>30.899999999999899</v>
      </c>
      <c r="K85">
        <v>44.532499999999999</v>
      </c>
      <c r="M85">
        <v>8741.0059999999994</v>
      </c>
      <c r="N85">
        <v>192190.03768250399</v>
      </c>
      <c r="O85">
        <v>182759.234527386</v>
      </c>
      <c r="P85">
        <v>517328.60951811401</v>
      </c>
      <c r="Q85">
        <v>142379.33730822301</v>
      </c>
      <c r="S85">
        <v>8741.0059999999994</v>
      </c>
      <c r="T85">
        <v>21215.6411979443</v>
      </c>
      <c r="U85">
        <v>118475.802669303</v>
      </c>
      <c r="V85">
        <v>177713.704003955</v>
      </c>
      <c r="X85">
        <v>8741.0059999999994</v>
      </c>
      <c r="Y85">
        <v>-41669.802955760999</v>
      </c>
    </row>
    <row r="86" spans="7:25" x14ac:dyDescent="0.25">
      <c r="G86">
        <v>8742.0059999999994</v>
      </c>
      <c r="H86">
        <v>0</v>
      </c>
      <c r="I86">
        <v>4.9999999998817603E-4</v>
      </c>
      <c r="J86">
        <v>36.909999999999897</v>
      </c>
      <c r="K86">
        <v>46.165500000000002</v>
      </c>
      <c r="M86">
        <v>8742.0059999999994</v>
      </c>
      <c r="N86">
        <v>192190.03768250399</v>
      </c>
      <c r="O86">
        <v>182780.139527386</v>
      </c>
      <c r="P86">
        <v>517365.80151811399</v>
      </c>
      <c r="Q86">
        <v>142395.62430822299</v>
      </c>
      <c r="S86">
        <v>8742.0059999999994</v>
      </c>
      <c r="T86">
        <v>21217.775197944298</v>
      </c>
      <c r="U86">
        <v>118475.802669303</v>
      </c>
      <c r="V86">
        <v>177713.704003955</v>
      </c>
      <c r="X86">
        <v>8742.0059999999994</v>
      </c>
      <c r="Y86">
        <v>-41671.507955761001</v>
      </c>
    </row>
    <row r="87" spans="7:25" x14ac:dyDescent="0.25">
      <c r="G87">
        <v>8743.0059999999994</v>
      </c>
      <c r="H87">
        <v>0</v>
      </c>
      <c r="I87">
        <v>4.9999999998817603E-4</v>
      </c>
      <c r="J87">
        <v>45.229999999999897</v>
      </c>
      <c r="K87">
        <v>47.503500000000003</v>
      </c>
      <c r="M87">
        <v>8743.0059999999994</v>
      </c>
      <c r="N87">
        <v>192190.03768250399</v>
      </c>
      <c r="O87">
        <v>182801.04552738601</v>
      </c>
      <c r="P87">
        <v>517402.99451811402</v>
      </c>
      <c r="Q87">
        <v>142411.911308223</v>
      </c>
      <c r="S87">
        <v>8743.0059999999994</v>
      </c>
      <c r="T87">
        <v>21218.3171979443</v>
      </c>
      <c r="U87">
        <v>118475.802669303</v>
      </c>
      <c r="V87">
        <v>177713.704003955</v>
      </c>
      <c r="X87">
        <v>8743.0059999999994</v>
      </c>
      <c r="Y87">
        <v>-41671.940955760998</v>
      </c>
    </row>
    <row r="88" spans="7:25" x14ac:dyDescent="0.25">
      <c r="G88">
        <v>8744.0059999999994</v>
      </c>
      <c r="H88">
        <v>0</v>
      </c>
      <c r="I88">
        <v>7.9994999999999896</v>
      </c>
      <c r="J88">
        <v>56.329999999999899</v>
      </c>
      <c r="K88">
        <v>48.330500000000001</v>
      </c>
      <c r="M88">
        <v>8744.0059999999994</v>
      </c>
      <c r="N88">
        <v>192199.86668250401</v>
      </c>
      <c r="O88">
        <v>182821.951527386</v>
      </c>
      <c r="P88">
        <v>517450.01651811402</v>
      </c>
      <c r="Q88">
        <v>142428.197308223</v>
      </c>
      <c r="S88">
        <v>8744.0059999999994</v>
      </c>
      <c r="T88">
        <v>21218.3171979443</v>
      </c>
      <c r="U88">
        <v>118475.802669303</v>
      </c>
      <c r="V88">
        <v>177713.704003955</v>
      </c>
      <c r="X88">
        <v>8744.0059999999994</v>
      </c>
      <c r="Y88">
        <v>-41670.175955760998</v>
      </c>
    </row>
    <row r="89" spans="7:25" x14ac:dyDescent="0.25">
      <c r="G89">
        <v>8745.0059999999994</v>
      </c>
      <c r="H89">
        <v>0</v>
      </c>
      <c r="I89">
        <v>9.5424999999999898</v>
      </c>
      <c r="J89">
        <v>59.309999999999903</v>
      </c>
      <c r="K89">
        <v>49.767499999999998</v>
      </c>
      <c r="M89">
        <v>8745.0059999999994</v>
      </c>
      <c r="N89">
        <v>192211.612682504</v>
      </c>
      <c r="O89">
        <v>182842.85752738599</v>
      </c>
      <c r="P89">
        <v>517498.95451811398</v>
      </c>
      <c r="Q89">
        <v>142444.48430822301</v>
      </c>
      <c r="S89">
        <v>8745.0059999999994</v>
      </c>
      <c r="T89">
        <v>21218.3171979443</v>
      </c>
      <c r="U89">
        <v>118475.802669303</v>
      </c>
      <c r="V89">
        <v>177713.704003955</v>
      </c>
      <c r="X89">
        <v>8745.0059999999994</v>
      </c>
      <c r="Y89">
        <v>-41668.028955761001</v>
      </c>
    </row>
    <row r="90" spans="7:25" x14ac:dyDescent="0.25">
      <c r="G90">
        <v>8746.0059999999994</v>
      </c>
      <c r="H90">
        <v>0</v>
      </c>
      <c r="I90">
        <v>8.4434999999999807</v>
      </c>
      <c r="J90">
        <v>58.819999999999901</v>
      </c>
      <c r="K90">
        <v>50.3765</v>
      </c>
      <c r="M90">
        <v>8746.0059999999994</v>
      </c>
      <c r="N90">
        <v>192222.08068250399</v>
      </c>
      <c r="O90">
        <v>182863.76352738601</v>
      </c>
      <c r="P90">
        <v>517546.61551811401</v>
      </c>
      <c r="Q90">
        <v>142460.77130822299</v>
      </c>
      <c r="S90">
        <v>8746.0059999999994</v>
      </c>
      <c r="T90">
        <v>21218.3171979443</v>
      </c>
      <c r="U90">
        <v>118475.802669303</v>
      </c>
      <c r="V90">
        <v>177713.704003955</v>
      </c>
      <c r="X90">
        <v>8746.0059999999994</v>
      </c>
      <c r="Y90">
        <v>-41666.166955761</v>
      </c>
    </row>
    <row r="91" spans="7:25" x14ac:dyDescent="0.25">
      <c r="G91">
        <v>8747.0059999999994</v>
      </c>
      <c r="H91">
        <v>0</v>
      </c>
      <c r="I91">
        <v>13.3814999999999</v>
      </c>
      <c r="J91">
        <v>63.279999999999902</v>
      </c>
      <c r="K91">
        <v>49.898499999999999</v>
      </c>
      <c r="M91">
        <v>8747.0059999999994</v>
      </c>
      <c r="N91">
        <v>192238.56168250399</v>
      </c>
      <c r="O91">
        <v>182884.669527386</v>
      </c>
      <c r="P91">
        <v>517600.289518114</v>
      </c>
      <c r="Q91">
        <v>142477.058308223</v>
      </c>
      <c r="S91">
        <v>8747.0059999999994</v>
      </c>
      <c r="T91">
        <v>21218.3171979443</v>
      </c>
      <c r="U91">
        <v>118475.802669303</v>
      </c>
      <c r="V91">
        <v>177713.704003955</v>
      </c>
      <c r="X91">
        <v>8747.0059999999994</v>
      </c>
      <c r="Y91">
        <v>-41663.204955761001</v>
      </c>
    </row>
    <row r="92" spans="7:25" x14ac:dyDescent="0.25">
      <c r="G92">
        <v>8748.0059999999994</v>
      </c>
      <c r="H92">
        <v>20.120999999999999</v>
      </c>
      <c r="I92">
        <v>-1.9605000000000099</v>
      </c>
      <c r="J92">
        <v>68.259999999999906</v>
      </c>
      <c r="K92">
        <v>51.831499999999998</v>
      </c>
      <c r="M92">
        <v>8748.0059999999994</v>
      </c>
      <c r="N92">
        <v>192238.08368250399</v>
      </c>
      <c r="O92">
        <v>182905.57552738601</v>
      </c>
      <c r="P92">
        <v>517637.00351811398</v>
      </c>
      <c r="Q92">
        <v>142493.34530822301</v>
      </c>
      <c r="S92">
        <v>8748.0059999999994</v>
      </c>
      <c r="T92">
        <v>21219.090197944301</v>
      </c>
      <c r="U92">
        <v>118476.280669303</v>
      </c>
      <c r="V92">
        <v>177714.42100395501</v>
      </c>
      <c r="X92">
        <v>8748.0059999999994</v>
      </c>
      <c r="Y92">
        <v>-41664.325955761</v>
      </c>
    </row>
    <row r="93" spans="7:25" x14ac:dyDescent="0.25">
      <c r="G93">
        <v>8749.0059999999994</v>
      </c>
      <c r="H93">
        <v>10.215</v>
      </c>
      <c r="I93">
        <v>3.76849999999998</v>
      </c>
      <c r="J93">
        <v>67.969999999999899</v>
      </c>
      <c r="K93">
        <v>53.3645</v>
      </c>
      <c r="M93">
        <v>8749.0059999999994</v>
      </c>
      <c r="N93">
        <v>192243.381682504</v>
      </c>
      <c r="O93">
        <v>182926.481527386</v>
      </c>
      <c r="P93">
        <v>517679.49551811401</v>
      </c>
      <c r="Q93">
        <v>142509.63230822299</v>
      </c>
      <c r="S93">
        <v>8749.0059999999994</v>
      </c>
      <c r="T93">
        <v>21219.090197944301</v>
      </c>
      <c r="U93">
        <v>118476.462669303</v>
      </c>
      <c r="V93">
        <v>177714.694003955</v>
      </c>
      <c r="X93">
        <v>8749.0059999999994</v>
      </c>
      <c r="Y93">
        <v>-41663.526955761001</v>
      </c>
    </row>
    <row r="94" spans="7:25" x14ac:dyDescent="0.25">
      <c r="G94">
        <v>8750.0059999999994</v>
      </c>
      <c r="H94">
        <v>15.145</v>
      </c>
      <c r="I94">
        <v>9.5499999999986998E-2</v>
      </c>
      <c r="J94">
        <v>70.449999999999903</v>
      </c>
      <c r="K94">
        <v>54.590499999999999</v>
      </c>
      <c r="M94">
        <v>8750.0059999999994</v>
      </c>
      <c r="N94">
        <v>192244.26368250401</v>
      </c>
      <c r="O94">
        <v>182947.38752738599</v>
      </c>
      <c r="P94">
        <v>517717.56851811399</v>
      </c>
      <c r="Q94">
        <v>142525.91830822299</v>
      </c>
      <c r="S94">
        <v>8750.0059999999994</v>
      </c>
      <c r="T94">
        <v>21219.090197944301</v>
      </c>
      <c r="U94">
        <v>118476.654669303</v>
      </c>
      <c r="V94">
        <v>177714.98100395501</v>
      </c>
      <c r="X94">
        <v>8750.0059999999994</v>
      </c>
      <c r="Y94">
        <v>-41663.506955760997</v>
      </c>
    </row>
    <row r="95" spans="7:25" x14ac:dyDescent="0.25">
      <c r="G95">
        <v>8751.0059999999994</v>
      </c>
      <c r="H95">
        <v>13.73</v>
      </c>
      <c r="I95">
        <v>3.9604999999999801</v>
      </c>
      <c r="J95">
        <v>74.649999999999906</v>
      </c>
      <c r="K95">
        <v>56.395499999999998</v>
      </c>
      <c r="M95">
        <v>8751.0059999999994</v>
      </c>
      <c r="N95">
        <v>192249.799682504</v>
      </c>
      <c r="O95">
        <v>182968.29252738599</v>
      </c>
      <c r="P95">
        <v>517760.29851811402</v>
      </c>
      <c r="Q95">
        <v>142542.205308223</v>
      </c>
      <c r="S95">
        <v>8751.0059999999994</v>
      </c>
      <c r="T95">
        <v>21219.090197944301</v>
      </c>
      <c r="U95">
        <v>118476.823669303</v>
      </c>
      <c r="V95">
        <v>177715.23500395499</v>
      </c>
      <c r="X95">
        <v>8751.0059999999994</v>
      </c>
      <c r="Y95">
        <v>-41662.731955761003</v>
      </c>
    </row>
    <row r="96" spans="7:25" x14ac:dyDescent="0.25">
      <c r="G96">
        <v>8752.0059999999994</v>
      </c>
      <c r="H96">
        <v>13.73</v>
      </c>
      <c r="I96">
        <v>15.6654999999999</v>
      </c>
      <c r="J96">
        <v>88.969999999999899</v>
      </c>
      <c r="K96">
        <v>59.093499999999999</v>
      </c>
      <c r="M96">
        <v>8752.0059999999994</v>
      </c>
      <c r="N96">
        <v>192269.95868250399</v>
      </c>
      <c r="O96">
        <v>182989.198527386</v>
      </c>
      <c r="P96">
        <v>517817.65051811398</v>
      </c>
      <c r="Q96">
        <v>142558.49230822301</v>
      </c>
      <c r="S96">
        <v>8752.0059999999994</v>
      </c>
      <c r="T96">
        <v>21219.090197944301</v>
      </c>
      <c r="U96">
        <v>118476.97566930301</v>
      </c>
      <c r="V96">
        <v>177715.463003955</v>
      </c>
      <c r="X96">
        <v>8752.0059999999994</v>
      </c>
      <c r="Y96">
        <v>-41659.667955760997</v>
      </c>
    </row>
    <row r="97" spans="7:25" x14ac:dyDescent="0.25">
      <c r="G97">
        <v>8753.0059999999994</v>
      </c>
      <c r="H97">
        <v>13.73</v>
      </c>
      <c r="I97">
        <v>34.4284999999999</v>
      </c>
      <c r="J97">
        <v>109.569999999999</v>
      </c>
      <c r="K97">
        <v>60.823500000000003</v>
      </c>
      <c r="M97">
        <v>8753.0059999999994</v>
      </c>
      <c r="N97">
        <v>192313.606682504</v>
      </c>
      <c r="O97">
        <v>183010.10452738599</v>
      </c>
      <c r="P97">
        <v>517898.49051811401</v>
      </c>
      <c r="Q97">
        <v>142574.77930822299</v>
      </c>
      <c r="S97">
        <v>8753.0059999999994</v>
      </c>
      <c r="T97">
        <v>21219.090197944301</v>
      </c>
      <c r="U97">
        <v>118477.13166930299</v>
      </c>
      <c r="V97">
        <v>177715.69800395501</v>
      </c>
      <c r="X97">
        <v>8753.0059999999994</v>
      </c>
      <c r="Y97">
        <v>-41652.759955761001</v>
      </c>
    </row>
    <row r="98" spans="7:25" x14ac:dyDescent="0.25">
      <c r="G98">
        <v>8754.0059999999994</v>
      </c>
      <c r="H98">
        <v>13.73</v>
      </c>
      <c r="I98">
        <v>33.657499999999899</v>
      </c>
      <c r="J98">
        <v>108.229999999999</v>
      </c>
      <c r="K98">
        <v>60.577500000000001</v>
      </c>
      <c r="M98">
        <v>8754.0059999999994</v>
      </c>
      <c r="N98">
        <v>192355.280682504</v>
      </c>
      <c r="O98">
        <v>183031.01052738601</v>
      </c>
      <c r="P98">
        <v>517977.35751811397</v>
      </c>
      <c r="Q98">
        <v>142591.066308223</v>
      </c>
      <c r="S98">
        <v>8754.0059999999994</v>
      </c>
      <c r="T98">
        <v>21219.090197944301</v>
      </c>
      <c r="U98">
        <v>118477.21866930299</v>
      </c>
      <c r="V98">
        <v>177715.827003955</v>
      </c>
      <c r="X98">
        <v>8754.0059999999994</v>
      </c>
      <c r="Y98">
        <v>-41646.254955760996</v>
      </c>
    </row>
    <row r="99" spans="7:25" x14ac:dyDescent="0.25">
      <c r="G99">
        <v>8755.0059999999994</v>
      </c>
      <c r="H99">
        <v>13.73</v>
      </c>
      <c r="I99">
        <v>11.8524999999999</v>
      </c>
      <c r="J99">
        <v>85.619999999999905</v>
      </c>
      <c r="K99">
        <v>59.854500000000002</v>
      </c>
      <c r="M99">
        <v>8755.0059999999994</v>
      </c>
      <c r="N99">
        <v>192369.66268250399</v>
      </c>
      <c r="O99">
        <v>183051.916527386</v>
      </c>
      <c r="P99">
        <v>518028.931518114</v>
      </c>
      <c r="Q99">
        <v>142607.35230822299</v>
      </c>
      <c r="S99">
        <v>8755.0059999999994</v>
      </c>
      <c r="T99">
        <v>21219.090197944301</v>
      </c>
      <c r="U99">
        <v>118477.268669303</v>
      </c>
      <c r="V99">
        <v>177715.90200395501</v>
      </c>
      <c r="X99">
        <v>8755.0059999999994</v>
      </c>
      <c r="Y99">
        <v>-41644.208955761002</v>
      </c>
    </row>
    <row r="100" spans="7:25" x14ac:dyDescent="0.25">
      <c r="G100">
        <v>8756.0059999999994</v>
      </c>
      <c r="H100">
        <v>13.73</v>
      </c>
      <c r="I100">
        <v>18.446499999999901</v>
      </c>
      <c r="J100">
        <v>91.329999999999899</v>
      </c>
      <c r="K100">
        <v>58.903500000000001</v>
      </c>
      <c r="M100">
        <v>8756.0059999999994</v>
      </c>
      <c r="N100">
        <v>192391.58068250399</v>
      </c>
      <c r="O100">
        <v>183072.82252738599</v>
      </c>
      <c r="P100">
        <v>518088.04251811397</v>
      </c>
      <c r="Q100">
        <v>142623.63930822301</v>
      </c>
      <c r="S100">
        <v>8756.0059999999994</v>
      </c>
      <c r="T100">
        <v>21219.090197944301</v>
      </c>
      <c r="U100">
        <v>118477.356669303</v>
      </c>
      <c r="V100">
        <v>177716.03500395501</v>
      </c>
      <c r="X100">
        <v>8756.0059999999994</v>
      </c>
      <c r="Y100">
        <v>-41641.116955760997</v>
      </c>
    </row>
    <row r="101" spans="7:25" x14ac:dyDescent="0.25">
      <c r="G101">
        <v>8757.0059999999994</v>
      </c>
      <c r="H101">
        <v>9.0370000000000008</v>
      </c>
      <c r="I101">
        <v>5.4824999999999804</v>
      </c>
      <c r="J101">
        <v>74.939999999999898</v>
      </c>
      <c r="K101">
        <v>60.298499999999997</v>
      </c>
      <c r="M101">
        <v>8757.0059999999994</v>
      </c>
      <c r="N101">
        <v>192398.052682504</v>
      </c>
      <c r="O101">
        <v>183093.728527386</v>
      </c>
      <c r="P101">
        <v>518131.70651811402</v>
      </c>
      <c r="Q101">
        <v>142639.92630822299</v>
      </c>
      <c r="S101">
        <v>8757.0059999999994</v>
      </c>
      <c r="T101">
        <v>21219.090197944301</v>
      </c>
      <c r="U101">
        <v>118477.39666930299</v>
      </c>
      <c r="V101">
        <v>177716.096003955</v>
      </c>
      <c r="X101">
        <v>8757.0059999999994</v>
      </c>
      <c r="Y101">
        <v>-41640.222955760997</v>
      </c>
    </row>
    <row r="102" spans="7:25" x14ac:dyDescent="0.25">
      <c r="G102">
        <v>8758.0059999999994</v>
      </c>
      <c r="H102">
        <v>0</v>
      </c>
      <c r="I102">
        <v>8.7904999999999802</v>
      </c>
      <c r="J102">
        <v>68.499999999999901</v>
      </c>
      <c r="K102">
        <v>59.709499999999998</v>
      </c>
      <c r="M102">
        <v>8758.0059999999994</v>
      </c>
      <c r="N102">
        <v>192407.88868250401</v>
      </c>
      <c r="O102">
        <v>183114.63452738599</v>
      </c>
      <c r="P102">
        <v>518178.735518114</v>
      </c>
      <c r="Q102">
        <v>142656.213308223</v>
      </c>
      <c r="S102">
        <v>8758.0059999999994</v>
      </c>
      <c r="T102">
        <v>21219.090197944301</v>
      </c>
      <c r="U102">
        <v>118477.39666930299</v>
      </c>
      <c r="V102">
        <v>177716.096003955</v>
      </c>
      <c r="X102">
        <v>8758.0059999999994</v>
      </c>
      <c r="Y102">
        <v>-41638.794955760997</v>
      </c>
    </row>
    <row r="103" spans="7:25" x14ac:dyDescent="0.25">
      <c r="G103">
        <v>8759.0059999999994</v>
      </c>
      <c r="H103">
        <v>0</v>
      </c>
      <c r="I103">
        <v>0.552499999999987</v>
      </c>
      <c r="J103">
        <v>59.779999999999902</v>
      </c>
      <c r="K103">
        <v>59.200499999999998</v>
      </c>
      <c r="M103">
        <v>8759.0059999999994</v>
      </c>
      <c r="N103">
        <v>192408.47568250401</v>
      </c>
      <c r="O103">
        <v>183135.53952738599</v>
      </c>
      <c r="P103">
        <v>518216.51551811403</v>
      </c>
      <c r="Q103">
        <v>142672.50030822301</v>
      </c>
      <c r="S103">
        <v>8759.0059999999994</v>
      </c>
      <c r="T103">
        <v>21219.090197944301</v>
      </c>
      <c r="U103">
        <v>118477.402669303</v>
      </c>
      <c r="V103">
        <v>177716.104003955</v>
      </c>
      <c r="X103">
        <v>8759.0059999999994</v>
      </c>
      <c r="Y103">
        <v>-41638.705955760997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24CD-31C0-47AC-8C1D-056080110ECC}">
  <dimension ref="G2:Y102"/>
  <sheetViews>
    <sheetView topLeftCell="E1" workbookViewId="0">
      <selection activeCell="K115" sqref="K115"/>
    </sheetView>
  </sheetViews>
  <sheetFormatPr defaultRowHeight="15" x14ac:dyDescent="0.25"/>
  <cols>
    <col min="14" max="14" width="19.5703125" bestFit="1" customWidth="1"/>
  </cols>
  <sheetData>
    <row r="2" spans="7:25" x14ac:dyDescent="0.25">
      <c r="H2" t="s">
        <v>57</v>
      </c>
      <c r="I2" t="s">
        <v>58</v>
      </c>
      <c r="J2" t="s">
        <v>59</v>
      </c>
      <c r="K2" t="s">
        <v>60</v>
      </c>
      <c r="N2" t="s">
        <v>39</v>
      </c>
      <c r="O2" t="s">
        <v>40</v>
      </c>
      <c r="P2" t="s">
        <v>41</v>
      </c>
      <c r="Q2" t="s">
        <v>61</v>
      </c>
      <c r="T2" t="s">
        <v>62</v>
      </c>
      <c r="U2" t="s">
        <v>63</v>
      </c>
      <c r="V2" t="s">
        <v>64</v>
      </c>
      <c r="Y2" t="s">
        <v>42</v>
      </c>
    </row>
    <row r="3" spans="7:25" x14ac:dyDescent="0.25">
      <c r="G3">
        <v>8660.0059999999994</v>
      </c>
      <c r="H3">
        <v>0</v>
      </c>
      <c r="I3">
        <v>51.097499999999897</v>
      </c>
      <c r="J3">
        <v>82.809999999999903</v>
      </c>
      <c r="K3">
        <v>31.712499999999999</v>
      </c>
      <c r="M3">
        <v>8660.0059999999994</v>
      </c>
      <c r="N3">
        <v>97584.038096415199</v>
      </c>
      <c r="O3">
        <v>181065.85752738599</v>
      </c>
      <c r="P3">
        <v>419710.00093202502</v>
      </c>
      <c r="Q3">
        <v>141060.10530822299</v>
      </c>
      <c r="S3">
        <v>8660.0059999999994</v>
      </c>
      <c r="T3">
        <v>24275.557745913498</v>
      </c>
      <c r="U3">
        <v>192490.494520949</v>
      </c>
      <c r="V3">
        <v>288735.74178142397</v>
      </c>
      <c r="X3">
        <v>8660.0059999999994</v>
      </c>
      <c r="Y3">
        <v>-111137.043494103</v>
      </c>
    </row>
    <row r="4" spans="7:25" x14ac:dyDescent="0.25">
      <c r="G4">
        <v>8661.0059999999994</v>
      </c>
      <c r="H4">
        <v>0</v>
      </c>
      <c r="I4">
        <v>43.668499999999902</v>
      </c>
      <c r="J4">
        <v>80.069999999999894</v>
      </c>
      <c r="K4">
        <v>36.401499999999999</v>
      </c>
      <c r="M4">
        <v>8661.0059999999994</v>
      </c>
      <c r="N4">
        <v>97625.476096415194</v>
      </c>
      <c r="O4">
        <v>181086.76352738601</v>
      </c>
      <c r="P4">
        <v>419788.63093202497</v>
      </c>
      <c r="Q4">
        <v>141076.392308223</v>
      </c>
      <c r="S4">
        <v>8661.0059999999994</v>
      </c>
      <c r="T4">
        <v>24275.557745913498</v>
      </c>
      <c r="U4">
        <v>192490.494520949</v>
      </c>
      <c r="V4">
        <v>288735.74178142397</v>
      </c>
      <c r="X4">
        <v>8661.0059999999994</v>
      </c>
      <c r="Y4">
        <v>-111125.900494103</v>
      </c>
    </row>
    <row r="5" spans="7:25" x14ac:dyDescent="0.25">
      <c r="G5">
        <v>8662.0059999999994</v>
      </c>
      <c r="H5">
        <v>0</v>
      </c>
      <c r="I5">
        <v>23.642499999999899</v>
      </c>
      <c r="J5">
        <v>65.279999999999902</v>
      </c>
      <c r="K5">
        <v>41.637500000000003</v>
      </c>
      <c r="M5">
        <v>8662.0059999999994</v>
      </c>
      <c r="N5">
        <v>97645.459096415201</v>
      </c>
      <c r="O5">
        <v>181107.669527386</v>
      </c>
      <c r="P5">
        <v>419845.80693202501</v>
      </c>
      <c r="Q5">
        <v>141092.67930822301</v>
      </c>
      <c r="S5">
        <v>8662.0059999999994</v>
      </c>
      <c r="T5">
        <v>24275.557745913498</v>
      </c>
      <c r="U5">
        <v>192490.494520949</v>
      </c>
      <c r="V5">
        <v>288735.74178142397</v>
      </c>
      <c r="X5">
        <v>8662.0059999999994</v>
      </c>
      <c r="Y5">
        <v>-111120.336494103</v>
      </c>
    </row>
    <row r="6" spans="7:25" x14ac:dyDescent="0.25">
      <c r="G6">
        <v>8663.0059999999994</v>
      </c>
      <c r="H6">
        <v>0</v>
      </c>
      <c r="I6">
        <v>9.8174999999999795</v>
      </c>
      <c r="J6">
        <v>55.959999999999901</v>
      </c>
      <c r="K6">
        <v>46.142499999999998</v>
      </c>
      <c r="M6">
        <v>8663.0059999999994</v>
      </c>
      <c r="N6">
        <v>97653.200096415196</v>
      </c>
      <c r="O6">
        <v>181128.57552738601</v>
      </c>
      <c r="P6">
        <v>419890.74093202502</v>
      </c>
      <c r="Q6">
        <v>141108.96530822301</v>
      </c>
      <c r="S6">
        <v>8663.0059999999994</v>
      </c>
      <c r="T6">
        <v>24275.557745913498</v>
      </c>
      <c r="U6">
        <v>192490.494520949</v>
      </c>
      <c r="V6">
        <v>288735.74178142397</v>
      </c>
      <c r="X6">
        <v>8663.0059999999994</v>
      </c>
      <c r="Y6">
        <v>-111118.70549410299</v>
      </c>
    </row>
    <row r="7" spans="7:25" x14ac:dyDescent="0.25">
      <c r="G7">
        <v>8664.0059999999994</v>
      </c>
      <c r="H7">
        <v>0</v>
      </c>
      <c r="I7">
        <v>4.65949999999998</v>
      </c>
      <c r="J7">
        <v>50.299999999999898</v>
      </c>
      <c r="K7">
        <v>45.640500000000003</v>
      </c>
      <c r="M7">
        <v>8664.0059999999994</v>
      </c>
      <c r="N7">
        <v>97656.885096415193</v>
      </c>
      <c r="O7">
        <v>181149.481527386</v>
      </c>
      <c r="P7">
        <v>419931.61793202499</v>
      </c>
      <c r="Q7">
        <v>141125.25230822299</v>
      </c>
      <c r="S7">
        <v>8664.0059999999994</v>
      </c>
      <c r="T7">
        <v>24275.557745913498</v>
      </c>
      <c r="U7">
        <v>192490.494520949</v>
      </c>
      <c r="V7">
        <v>288735.74178142397</v>
      </c>
      <c r="X7">
        <v>8664.0059999999994</v>
      </c>
      <c r="Y7">
        <v>-111117.975494103</v>
      </c>
    </row>
    <row r="8" spans="7:25" x14ac:dyDescent="0.25">
      <c r="G8">
        <v>8665.0059999999994</v>
      </c>
      <c r="H8">
        <v>0</v>
      </c>
      <c r="I8">
        <v>4.9999999998817603E-4</v>
      </c>
      <c r="J8">
        <v>36.999999999999901</v>
      </c>
      <c r="K8">
        <v>45.883499999999998</v>
      </c>
      <c r="M8">
        <v>8665.0059999999994</v>
      </c>
      <c r="N8">
        <v>97656.885096415193</v>
      </c>
      <c r="O8">
        <v>181170.386527386</v>
      </c>
      <c r="P8">
        <v>419968.81093202502</v>
      </c>
      <c r="Q8">
        <v>141141.539308223</v>
      </c>
      <c r="S8">
        <v>8665.0059999999994</v>
      </c>
      <c r="T8">
        <v>24276.704745913499</v>
      </c>
      <c r="U8">
        <v>192490.494520949</v>
      </c>
      <c r="V8">
        <v>288735.74178142397</v>
      </c>
      <c r="X8">
        <v>8665.0059999999994</v>
      </c>
      <c r="Y8">
        <v>-111119.221494103</v>
      </c>
    </row>
    <row r="9" spans="7:25" x14ac:dyDescent="0.25">
      <c r="G9">
        <v>8666.0059999999994</v>
      </c>
      <c r="H9">
        <v>0</v>
      </c>
      <c r="I9">
        <v>4.9999999998817603E-4</v>
      </c>
      <c r="J9">
        <v>32.1099999999999</v>
      </c>
      <c r="K9">
        <v>48.904499999999999</v>
      </c>
      <c r="M9">
        <v>8666.0059999999994</v>
      </c>
      <c r="N9">
        <v>97656.885096415193</v>
      </c>
      <c r="O9">
        <v>181191.29252738599</v>
      </c>
      <c r="P9">
        <v>420006.00393202499</v>
      </c>
      <c r="Q9">
        <v>141157.82630822301</v>
      </c>
      <c r="S9">
        <v>8666.0059999999994</v>
      </c>
      <c r="T9">
        <v>24278.5307459135</v>
      </c>
      <c r="U9">
        <v>192490.494520949</v>
      </c>
      <c r="V9">
        <v>288735.74178142397</v>
      </c>
      <c r="X9">
        <v>8666.0059999999994</v>
      </c>
      <c r="Y9">
        <v>-111121.177494103</v>
      </c>
    </row>
    <row r="10" spans="7:25" x14ac:dyDescent="0.25">
      <c r="G10">
        <v>8667.0059999999994</v>
      </c>
      <c r="H10">
        <v>0</v>
      </c>
      <c r="I10">
        <v>4.9999999998817603E-4</v>
      </c>
      <c r="J10">
        <v>29.719999999999899</v>
      </c>
      <c r="K10">
        <v>54.5565</v>
      </c>
      <c r="M10">
        <v>8667.0059999999994</v>
      </c>
      <c r="N10">
        <v>97656.885096415193</v>
      </c>
      <c r="O10">
        <v>181212.198527386</v>
      </c>
      <c r="P10">
        <v>420043.19693202502</v>
      </c>
      <c r="Q10">
        <v>141174.11330822299</v>
      </c>
      <c r="S10">
        <v>8667.0059999999994</v>
      </c>
      <c r="T10">
        <v>24280.861745913498</v>
      </c>
      <c r="U10">
        <v>192490.494520949</v>
      </c>
      <c r="V10">
        <v>288735.74178142397</v>
      </c>
      <c r="X10">
        <v>8667.0059999999994</v>
      </c>
      <c r="Y10">
        <v>-111123.75449410301</v>
      </c>
    </row>
    <row r="11" spans="7:25" x14ac:dyDescent="0.25">
      <c r="G11">
        <v>8668.0059999999994</v>
      </c>
      <c r="H11">
        <v>0</v>
      </c>
      <c r="I11">
        <v>-4.9500000000008898E-2</v>
      </c>
      <c r="J11">
        <v>28.8799999999999</v>
      </c>
      <c r="K11">
        <v>57.436500000000002</v>
      </c>
      <c r="M11">
        <v>8668.0059999999994</v>
      </c>
      <c r="N11">
        <v>97656.882096415196</v>
      </c>
      <c r="O11">
        <v>181233.10452738599</v>
      </c>
      <c r="P11">
        <v>420080.38693202502</v>
      </c>
      <c r="Q11">
        <v>141190.400308223</v>
      </c>
      <c r="S11">
        <v>8668.0059999999994</v>
      </c>
      <c r="T11">
        <v>24282.3357459135</v>
      </c>
      <c r="U11">
        <v>192490.49752094899</v>
      </c>
      <c r="V11">
        <v>288735.74578142399</v>
      </c>
      <c r="X11">
        <v>8668.0059999999994</v>
      </c>
      <c r="Y11">
        <v>-111126.738494103</v>
      </c>
    </row>
    <row r="12" spans="7:25" x14ac:dyDescent="0.25">
      <c r="G12">
        <v>8669.0059999999994</v>
      </c>
      <c r="H12">
        <v>0</v>
      </c>
      <c r="I12">
        <v>4.9999999998817603E-4</v>
      </c>
      <c r="J12">
        <v>29.119999999999902</v>
      </c>
      <c r="K12">
        <v>58.076500000000003</v>
      </c>
      <c r="M12">
        <v>8669.0059999999994</v>
      </c>
      <c r="N12">
        <v>97656.882096415196</v>
      </c>
      <c r="O12">
        <v>181254.01052738601</v>
      </c>
      <c r="P12">
        <v>420117.578932025</v>
      </c>
      <c r="Q12">
        <v>141206.686308223</v>
      </c>
      <c r="S12">
        <v>8669.0059999999994</v>
      </c>
      <c r="T12">
        <v>24282.383745913499</v>
      </c>
      <c r="U12">
        <v>192490.49752094899</v>
      </c>
      <c r="V12">
        <v>288735.74578142399</v>
      </c>
      <c r="X12">
        <v>8669.0059999999994</v>
      </c>
      <c r="Y12">
        <v>-111129.703494103</v>
      </c>
    </row>
    <row r="13" spans="7:25" x14ac:dyDescent="0.25">
      <c r="G13">
        <v>8670.0059999999994</v>
      </c>
      <c r="H13">
        <v>0</v>
      </c>
      <c r="I13">
        <v>4.9999999998817603E-4</v>
      </c>
      <c r="J13">
        <v>34.259999999999899</v>
      </c>
      <c r="K13">
        <v>58.148499999999999</v>
      </c>
      <c r="M13">
        <v>8670.0059999999994</v>
      </c>
      <c r="N13">
        <v>97656.882096415196</v>
      </c>
      <c r="O13">
        <v>181274.916527386</v>
      </c>
      <c r="P13">
        <v>420154.77193202497</v>
      </c>
      <c r="Q13">
        <v>141222.97330822301</v>
      </c>
      <c r="S13">
        <v>8670.0059999999994</v>
      </c>
      <c r="T13">
        <v>24282.397745913499</v>
      </c>
      <c r="U13">
        <v>192490.49752094899</v>
      </c>
      <c r="V13">
        <v>288735.74578142399</v>
      </c>
      <c r="X13">
        <v>8670.0059999999994</v>
      </c>
      <c r="Y13">
        <v>-111132.252494103</v>
      </c>
    </row>
    <row r="14" spans="7:25" x14ac:dyDescent="0.25">
      <c r="G14">
        <v>8671.0059999999994</v>
      </c>
      <c r="H14">
        <v>0</v>
      </c>
      <c r="I14">
        <v>4.9999999998817603E-4</v>
      </c>
      <c r="J14">
        <v>41.499999999999901</v>
      </c>
      <c r="K14">
        <v>57.941499999999998</v>
      </c>
      <c r="M14">
        <v>8671.0059999999994</v>
      </c>
      <c r="N14">
        <v>97656.882096415196</v>
      </c>
      <c r="O14">
        <v>181295.82252738599</v>
      </c>
      <c r="P14">
        <v>420191.964932025</v>
      </c>
      <c r="Q14">
        <v>141239.26030822299</v>
      </c>
      <c r="S14">
        <v>8671.0059999999994</v>
      </c>
      <c r="T14">
        <v>24282.4247459135</v>
      </c>
      <c r="U14">
        <v>192490.49752094899</v>
      </c>
      <c r="V14">
        <v>288735.74578142399</v>
      </c>
      <c r="X14">
        <v>8671.0059999999994</v>
      </c>
      <c r="Y14">
        <v>-111134.063494103</v>
      </c>
    </row>
    <row r="15" spans="7:25" x14ac:dyDescent="0.25">
      <c r="G15">
        <v>8672.0059999999994</v>
      </c>
      <c r="H15">
        <v>0</v>
      </c>
      <c r="I15">
        <v>4.7499999999992298E-2</v>
      </c>
      <c r="J15">
        <v>54.839999999999897</v>
      </c>
      <c r="K15">
        <v>54.792499999999997</v>
      </c>
      <c r="M15">
        <v>8672.0059999999994</v>
      </c>
      <c r="N15">
        <v>97656.9170964152</v>
      </c>
      <c r="O15">
        <v>181316.728527386</v>
      </c>
      <c r="P15">
        <v>420229.19193202502</v>
      </c>
      <c r="Q15">
        <v>141255.547308223</v>
      </c>
      <c r="S15">
        <v>8672.0059999999994</v>
      </c>
      <c r="T15">
        <v>24282.4247459135</v>
      </c>
      <c r="U15">
        <v>192490.49752094899</v>
      </c>
      <c r="V15">
        <v>288735.74578142399</v>
      </c>
      <c r="X15">
        <v>8672.0059999999994</v>
      </c>
      <c r="Y15">
        <v>-111134.055494103</v>
      </c>
    </row>
    <row r="16" spans="7:25" x14ac:dyDescent="0.25">
      <c r="G16">
        <v>8673.0059999999994</v>
      </c>
      <c r="H16">
        <v>1.1259999999999999</v>
      </c>
      <c r="I16">
        <v>13.552499999999901</v>
      </c>
      <c r="J16">
        <v>68.349999999999895</v>
      </c>
      <c r="K16">
        <v>53.671500000000002</v>
      </c>
      <c r="M16">
        <v>8673.0059999999994</v>
      </c>
      <c r="N16">
        <v>97667.058096415203</v>
      </c>
      <c r="O16">
        <v>181337.633527386</v>
      </c>
      <c r="P16">
        <v>420276.52593202499</v>
      </c>
      <c r="Q16">
        <v>141271.83430822301</v>
      </c>
      <c r="S16">
        <v>8673.0059999999994</v>
      </c>
      <c r="T16">
        <v>24282.4247459135</v>
      </c>
      <c r="U16">
        <v>192490.49752094899</v>
      </c>
      <c r="V16">
        <v>288735.74578142399</v>
      </c>
      <c r="X16">
        <v>8673.0059999999994</v>
      </c>
      <c r="Y16">
        <v>-111131.820494103</v>
      </c>
    </row>
    <row r="17" spans="7:25" x14ac:dyDescent="0.25">
      <c r="G17">
        <v>8674.0059999999994</v>
      </c>
      <c r="H17">
        <v>12.302</v>
      </c>
      <c r="I17">
        <v>11.3384999999999</v>
      </c>
      <c r="J17">
        <v>78.469999999999899</v>
      </c>
      <c r="K17">
        <v>54.5565</v>
      </c>
      <c r="M17">
        <v>8674.0059999999994</v>
      </c>
      <c r="N17">
        <v>97675.623096415206</v>
      </c>
      <c r="O17">
        <v>181358.53952738599</v>
      </c>
      <c r="P17">
        <v>420322.28393202502</v>
      </c>
      <c r="Q17">
        <v>141288.12030822301</v>
      </c>
      <c r="S17">
        <v>8674.0059999999994</v>
      </c>
      <c r="T17">
        <v>24282.4247459135</v>
      </c>
      <c r="U17">
        <v>192490.55752094899</v>
      </c>
      <c r="V17">
        <v>288735.83578142303</v>
      </c>
      <c r="X17">
        <v>8674.0059999999994</v>
      </c>
      <c r="Y17">
        <v>-111129.824494103</v>
      </c>
    </row>
    <row r="18" spans="7:25" x14ac:dyDescent="0.25">
      <c r="G18">
        <v>8675.0059999999994</v>
      </c>
      <c r="H18">
        <v>28.77</v>
      </c>
      <c r="I18">
        <v>-4.0965000000000096</v>
      </c>
      <c r="J18">
        <v>78.829999999999899</v>
      </c>
      <c r="K18">
        <v>56.099499999999999</v>
      </c>
      <c r="M18">
        <v>8675.0059999999994</v>
      </c>
      <c r="N18">
        <v>97674.963096415202</v>
      </c>
      <c r="O18">
        <v>181379.44552738601</v>
      </c>
      <c r="P18">
        <v>420358.81693202502</v>
      </c>
      <c r="Q18">
        <v>141304.40730822299</v>
      </c>
      <c r="S18">
        <v>8675.0059999999994</v>
      </c>
      <c r="T18">
        <v>24283.185745913499</v>
      </c>
      <c r="U18">
        <v>192491.216520949</v>
      </c>
      <c r="V18">
        <v>288736.82578142302</v>
      </c>
      <c r="X18">
        <v>8675.0059999999994</v>
      </c>
      <c r="Y18">
        <v>-111131.486494103</v>
      </c>
    </row>
    <row r="19" spans="7:25" x14ac:dyDescent="0.25">
      <c r="G19">
        <v>8676.0059999999994</v>
      </c>
      <c r="H19">
        <v>34.823</v>
      </c>
      <c r="I19">
        <v>-7.7755000000000001</v>
      </c>
      <c r="J19">
        <v>72.899999999999906</v>
      </c>
      <c r="K19">
        <v>57.765500000000003</v>
      </c>
      <c r="M19">
        <v>8676.0059999999994</v>
      </c>
      <c r="N19">
        <v>97673.754096415199</v>
      </c>
      <c r="O19">
        <v>181400.351527386</v>
      </c>
      <c r="P19">
        <v>420394.80093202501</v>
      </c>
      <c r="Q19">
        <v>141320.694308223</v>
      </c>
      <c r="S19">
        <v>8676.0059999999994</v>
      </c>
      <c r="T19">
        <v>24285.806745913502</v>
      </c>
      <c r="U19">
        <v>192492.42552094901</v>
      </c>
      <c r="V19">
        <v>288738.63878142397</v>
      </c>
      <c r="X19">
        <v>8676.0059999999994</v>
      </c>
      <c r="Y19">
        <v>-111136.566494103</v>
      </c>
    </row>
    <row r="20" spans="7:25" x14ac:dyDescent="0.25">
      <c r="G20">
        <v>8677.0059999999994</v>
      </c>
      <c r="H20">
        <v>35.058999999999997</v>
      </c>
      <c r="I20">
        <v>-14.4735</v>
      </c>
      <c r="J20">
        <v>74.449999999999903</v>
      </c>
      <c r="K20">
        <v>56.141500000000001</v>
      </c>
      <c r="M20">
        <v>8677.0059999999994</v>
      </c>
      <c r="N20">
        <v>97671.556096415195</v>
      </c>
      <c r="O20">
        <v>181421.25752738601</v>
      </c>
      <c r="P20">
        <v>420429.79493202502</v>
      </c>
      <c r="Q20">
        <v>141336.98130822301</v>
      </c>
      <c r="S20">
        <v>8677.0059999999994</v>
      </c>
      <c r="T20">
        <v>24287.898745913499</v>
      </c>
      <c r="U20">
        <v>192494.62352094901</v>
      </c>
      <c r="V20">
        <v>288741.93578142399</v>
      </c>
      <c r="X20">
        <v>8677.0059999999994</v>
      </c>
      <c r="Y20">
        <v>-111142.127494103</v>
      </c>
    </row>
    <row r="21" spans="7:25" x14ac:dyDescent="0.25">
      <c r="G21">
        <v>8678.0059999999994</v>
      </c>
      <c r="H21">
        <v>23.962</v>
      </c>
      <c r="I21">
        <v>-6.3005000000000102</v>
      </c>
      <c r="J21">
        <v>69.849999999999895</v>
      </c>
      <c r="K21">
        <v>55.122500000000002</v>
      </c>
      <c r="M21">
        <v>8678.0059999999994</v>
      </c>
      <c r="N21">
        <v>97670.503096415196</v>
      </c>
      <c r="O21">
        <v>181442.163527386</v>
      </c>
      <c r="P21">
        <v>420465.93393202499</v>
      </c>
      <c r="Q21">
        <v>141353.26830822299</v>
      </c>
      <c r="S21">
        <v>8678.0059999999994</v>
      </c>
      <c r="T21">
        <v>24289.323745913502</v>
      </c>
      <c r="U21">
        <v>192495.67752094899</v>
      </c>
      <c r="V21">
        <v>288743.516781424</v>
      </c>
      <c r="X21">
        <v>8678.0059999999994</v>
      </c>
      <c r="Y21">
        <v>-111144.905494103</v>
      </c>
    </row>
    <row r="22" spans="7:25" x14ac:dyDescent="0.25">
      <c r="G22">
        <v>8679.0059999999994</v>
      </c>
      <c r="H22">
        <v>5.43</v>
      </c>
      <c r="I22">
        <v>17.340499999999899</v>
      </c>
      <c r="J22">
        <v>77.559999999999903</v>
      </c>
      <c r="K22">
        <v>54.761499999999998</v>
      </c>
      <c r="M22">
        <v>8679.0059999999994</v>
      </c>
      <c r="N22">
        <v>97686.476096415194</v>
      </c>
      <c r="O22">
        <v>181463.06952738599</v>
      </c>
      <c r="P22">
        <v>420519.09993202501</v>
      </c>
      <c r="Q22">
        <v>141369.55430822301</v>
      </c>
      <c r="S22">
        <v>8679.0059999999994</v>
      </c>
      <c r="T22">
        <v>24289.323745913502</v>
      </c>
      <c r="U22">
        <v>192495.68352094901</v>
      </c>
      <c r="V22">
        <v>288743.52578142303</v>
      </c>
      <c r="X22">
        <v>8679.0059999999994</v>
      </c>
      <c r="Y22">
        <v>-111142.03449410301</v>
      </c>
    </row>
    <row r="23" spans="7:25" x14ac:dyDescent="0.25">
      <c r="G23">
        <v>8680.0059999999994</v>
      </c>
      <c r="H23">
        <v>0.03</v>
      </c>
      <c r="I23">
        <v>32.128499999999903</v>
      </c>
      <c r="J23">
        <v>87.349999999999895</v>
      </c>
      <c r="K23">
        <v>55.191499999999998</v>
      </c>
      <c r="M23">
        <v>8680.0059999999994</v>
      </c>
      <c r="N23">
        <v>97722.907096415205</v>
      </c>
      <c r="O23">
        <v>181483.97552738601</v>
      </c>
      <c r="P23">
        <v>420592.72393202502</v>
      </c>
      <c r="Q23">
        <v>141385.841308223</v>
      </c>
      <c r="S23">
        <v>8680.0059999999994</v>
      </c>
      <c r="T23">
        <v>24289.323745913502</v>
      </c>
      <c r="U23">
        <v>192495.68352094901</v>
      </c>
      <c r="V23">
        <v>288743.52578142303</v>
      </c>
      <c r="X23">
        <v>8680.0059999999994</v>
      </c>
      <c r="Y23">
        <v>-111136.791494103</v>
      </c>
    </row>
    <row r="24" spans="7:25" x14ac:dyDescent="0.25">
      <c r="G24">
        <v>8681.0059999999994</v>
      </c>
      <c r="H24">
        <v>0</v>
      </c>
      <c r="I24">
        <v>55.354499999999902</v>
      </c>
      <c r="J24">
        <v>110.05999999999899</v>
      </c>
      <c r="K24">
        <v>54.705500000000001</v>
      </c>
      <c r="M24">
        <v>8681.0059999999994</v>
      </c>
      <c r="N24">
        <v>97786.996096415198</v>
      </c>
      <c r="O24">
        <v>181504.88152738599</v>
      </c>
      <c r="P24">
        <v>420694.00593202497</v>
      </c>
      <c r="Q24">
        <v>141402.12830822301</v>
      </c>
      <c r="S24">
        <v>8681.0059999999994</v>
      </c>
      <c r="T24">
        <v>24289.323745913502</v>
      </c>
      <c r="U24">
        <v>192495.68352094901</v>
      </c>
      <c r="V24">
        <v>288743.52578142303</v>
      </c>
      <c r="X24">
        <v>8681.0059999999994</v>
      </c>
      <c r="Y24">
        <v>-111126.84149410301</v>
      </c>
    </row>
    <row r="25" spans="7:25" x14ac:dyDescent="0.25">
      <c r="G25">
        <v>8682.0059999999994</v>
      </c>
      <c r="H25">
        <v>0</v>
      </c>
      <c r="I25">
        <v>61.984499999999898</v>
      </c>
      <c r="J25">
        <v>114.83999999999899</v>
      </c>
      <c r="K25">
        <v>52.855499999999999</v>
      </c>
      <c r="M25">
        <v>8682.0059999999994</v>
      </c>
      <c r="N25">
        <v>97860.611096415203</v>
      </c>
      <c r="O25">
        <v>181525.78652738599</v>
      </c>
      <c r="P25">
        <v>420804.812932025</v>
      </c>
      <c r="Q25">
        <v>141418.41530822299</v>
      </c>
      <c r="S25">
        <v>8682.0059999999994</v>
      </c>
      <c r="T25">
        <v>24289.323745913502</v>
      </c>
      <c r="U25">
        <v>192495.68352094901</v>
      </c>
      <c r="V25">
        <v>288743.52578142303</v>
      </c>
      <c r="X25">
        <v>8682.0059999999994</v>
      </c>
      <c r="Y25">
        <v>-111116.96649410301</v>
      </c>
    </row>
    <row r="26" spans="7:25" x14ac:dyDescent="0.25">
      <c r="G26">
        <v>8683.0059999999994</v>
      </c>
      <c r="H26">
        <v>0</v>
      </c>
      <c r="I26">
        <v>48.247499999999903</v>
      </c>
      <c r="J26">
        <v>99.809999999999903</v>
      </c>
      <c r="K26">
        <v>51.5625</v>
      </c>
      <c r="M26">
        <v>8683.0059999999994</v>
      </c>
      <c r="N26">
        <v>97917.335096415205</v>
      </c>
      <c r="O26">
        <v>181546.69252738601</v>
      </c>
      <c r="P26">
        <v>420898.72993202502</v>
      </c>
      <c r="Q26">
        <v>141434.702308223</v>
      </c>
      <c r="S26">
        <v>8683.0059999999994</v>
      </c>
      <c r="T26">
        <v>24289.323745913502</v>
      </c>
      <c r="U26">
        <v>192495.68352094901</v>
      </c>
      <c r="V26">
        <v>288743.52578142303</v>
      </c>
      <c r="X26">
        <v>8683.0059999999994</v>
      </c>
      <c r="Y26">
        <v>-111109.46249410301</v>
      </c>
    </row>
    <row r="27" spans="7:25" x14ac:dyDescent="0.25">
      <c r="G27">
        <v>8684.0059999999994</v>
      </c>
      <c r="H27">
        <v>0</v>
      </c>
      <c r="I27">
        <v>35.890499999999903</v>
      </c>
      <c r="J27">
        <v>85.519999999999897</v>
      </c>
      <c r="K27">
        <v>49.6295</v>
      </c>
      <c r="M27">
        <v>8684.0059999999994</v>
      </c>
      <c r="N27">
        <v>97958.2730964152</v>
      </c>
      <c r="O27">
        <v>181567.598527386</v>
      </c>
      <c r="P27">
        <v>420976.85993202502</v>
      </c>
      <c r="Q27">
        <v>141450.98930822301</v>
      </c>
      <c r="S27">
        <v>8684.0059999999994</v>
      </c>
      <c r="T27">
        <v>24289.323745913502</v>
      </c>
      <c r="U27">
        <v>192495.68352094901</v>
      </c>
      <c r="V27">
        <v>288743.52578142303</v>
      </c>
      <c r="X27">
        <v>8684.0059999999994</v>
      </c>
      <c r="Y27">
        <v>-111103.013494103</v>
      </c>
    </row>
    <row r="28" spans="7:25" x14ac:dyDescent="0.25">
      <c r="G28">
        <v>8685.0059999999994</v>
      </c>
      <c r="H28">
        <v>0</v>
      </c>
      <c r="I28">
        <v>27.497499999999899</v>
      </c>
      <c r="J28">
        <v>75.589999999999904</v>
      </c>
      <c r="K28">
        <v>48.092500000000001</v>
      </c>
      <c r="M28">
        <v>8685.0059999999994</v>
      </c>
      <c r="N28">
        <v>97987.976096415194</v>
      </c>
      <c r="O28">
        <v>181588.50452738599</v>
      </c>
      <c r="P28">
        <v>421043.75693202502</v>
      </c>
      <c r="Q28">
        <v>141467.275308223</v>
      </c>
      <c r="S28">
        <v>8685.0059999999994</v>
      </c>
      <c r="T28">
        <v>24289.323745913502</v>
      </c>
      <c r="U28">
        <v>192495.68352094901</v>
      </c>
      <c r="V28">
        <v>288743.52578142303</v>
      </c>
      <c r="X28">
        <v>8685.0059999999994</v>
      </c>
      <c r="Y28">
        <v>-111098.041494103</v>
      </c>
    </row>
    <row r="29" spans="7:25" x14ac:dyDescent="0.25">
      <c r="G29">
        <v>8686.0059999999994</v>
      </c>
      <c r="H29">
        <v>0</v>
      </c>
      <c r="I29">
        <v>17.4104999999999</v>
      </c>
      <c r="J29">
        <v>64.029999999999902</v>
      </c>
      <c r="K29">
        <v>46.619500000000002</v>
      </c>
      <c r="M29">
        <v>8686.0059999999994</v>
      </c>
      <c r="N29">
        <v>98006.160096415202</v>
      </c>
      <c r="O29">
        <v>181609.410527386</v>
      </c>
      <c r="P29">
        <v>421099.13293202501</v>
      </c>
      <c r="Q29">
        <v>141483.56230822299</v>
      </c>
      <c r="S29">
        <v>8686.0059999999994</v>
      </c>
      <c r="T29">
        <v>24289.323745913502</v>
      </c>
      <c r="U29">
        <v>192495.68352094901</v>
      </c>
      <c r="V29">
        <v>288743.52578142303</v>
      </c>
      <c r="X29">
        <v>8686.0059999999994</v>
      </c>
      <c r="Y29">
        <v>-111094.903494103</v>
      </c>
    </row>
    <row r="30" spans="7:25" x14ac:dyDescent="0.25">
      <c r="G30">
        <v>8687.0059999999994</v>
      </c>
      <c r="H30">
        <v>0</v>
      </c>
      <c r="I30">
        <v>13.228499999999899</v>
      </c>
      <c r="J30">
        <v>51.1799999999999</v>
      </c>
      <c r="K30">
        <v>37.8125</v>
      </c>
      <c r="M30">
        <v>8687.0059999999994</v>
      </c>
      <c r="N30">
        <v>98019.903096415204</v>
      </c>
      <c r="O30">
        <v>181630.31652738599</v>
      </c>
      <c r="P30">
        <v>421150.06793202501</v>
      </c>
      <c r="Q30">
        <v>141499.849308223</v>
      </c>
      <c r="S30">
        <v>8687.0059999999994</v>
      </c>
      <c r="T30">
        <v>24289.323745913502</v>
      </c>
      <c r="U30">
        <v>192495.71252094899</v>
      </c>
      <c r="V30">
        <v>288743.56878142298</v>
      </c>
      <c r="X30">
        <v>8687.0059999999994</v>
      </c>
      <c r="Y30">
        <v>-111091.757494103</v>
      </c>
    </row>
    <row r="31" spans="7:25" x14ac:dyDescent="0.25">
      <c r="G31">
        <v>8688.0059999999994</v>
      </c>
      <c r="H31">
        <v>0</v>
      </c>
      <c r="I31">
        <v>13.4894999999999</v>
      </c>
      <c r="J31">
        <v>42.139999999999901</v>
      </c>
      <c r="K31">
        <v>28.650500000000001</v>
      </c>
      <c r="M31">
        <v>8688.0059999999994</v>
      </c>
      <c r="N31">
        <v>98035.420096415197</v>
      </c>
      <c r="O31">
        <v>181651.22252738601</v>
      </c>
      <c r="P31">
        <v>421202.77893202502</v>
      </c>
      <c r="Q31">
        <v>141516.13630822301</v>
      </c>
      <c r="S31">
        <v>8688.0059999999994</v>
      </c>
      <c r="T31">
        <v>24289.323745913502</v>
      </c>
      <c r="U31">
        <v>192495.71252094899</v>
      </c>
      <c r="V31">
        <v>288743.56878142298</v>
      </c>
      <c r="X31">
        <v>8688.0059999999994</v>
      </c>
      <c r="Y31">
        <v>-111087.539494103</v>
      </c>
    </row>
    <row r="32" spans="7:25" x14ac:dyDescent="0.25">
      <c r="G32">
        <v>8689.0059999999994</v>
      </c>
      <c r="H32">
        <v>0</v>
      </c>
      <c r="I32">
        <v>13.8204999999999</v>
      </c>
      <c r="J32">
        <v>36.769999999999897</v>
      </c>
      <c r="K32">
        <v>22.9495</v>
      </c>
      <c r="M32">
        <v>8689.0059999999994</v>
      </c>
      <c r="N32">
        <v>98051.309096415207</v>
      </c>
      <c r="O32">
        <v>181672.128527386</v>
      </c>
      <c r="P32">
        <v>421255.85993202502</v>
      </c>
      <c r="Q32">
        <v>141532.42330822299</v>
      </c>
      <c r="S32">
        <v>8689.0059999999994</v>
      </c>
      <c r="T32">
        <v>24289.323745913502</v>
      </c>
      <c r="U32">
        <v>192495.71252094899</v>
      </c>
      <c r="V32">
        <v>288743.56878142298</v>
      </c>
      <c r="X32">
        <v>8689.0059999999994</v>
      </c>
      <c r="Y32">
        <v>-111083.048494103</v>
      </c>
    </row>
    <row r="33" spans="7:25" x14ac:dyDescent="0.25">
      <c r="G33">
        <v>8690.0059999999994</v>
      </c>
      <c r="H33">
        <v>0</v>
      </c>
      <c r="I33">
        <v>15.2614999999999</v>
      </c>
      <c r="J33">
        <v>33.149999999999899</v>
      </c>
      <c r="K33">
        <v>17.888500000000001</v>
      </c>
      <c r="M33">
        <v>8690.0059999999994</v>
      </c>
      <c r="N33">
        <v>98068.944096415202</v>
      </c>
      <c r="O33">
        <v>181693.03452738599</v>
      </c>
      <c r="P33">
        <v>421310.687932025</v>
      </c>
      <c r="Q33">
        <v>141548.70930822301</v>
      </c>
      <c r="S33">
        <v>8690.0059999999994</v>
      </c>
      <c r="T33">
        <v>24289.323745913502</v>
      </c>
      <c r="U33">
        <v>192495.71252094899</v>
      </c>
      <c r="V33">
        <v>288743.56878142298</v>
      </c>
      <c r="X33">
        <v>8690.0059999999994</v>
      </c>
      <c r="Y33">
        <v>-111077.992494103</v>
      </c>
    </row>
    <row r="34" spans="7:25" x14ac:dyDescent="0.25">
      <c r="G34">
        <v>8691.0059999999994</v>
      </c>
      <c r="H34">
        <v>0</v>
      </c>
      <c r="I34">
        <v>17.8324999999999</v>
      </c>
      <c r="J34">
        <v>31.799999999999901</v>
      </c>
      <c r="K34">
        <v>13.967499999999999</v>
      </c>
      <c r="M34">
        <v>8691.0059999999994</v>
      </c>
      <c r="N34">
        <v>98089.736096415203</v>
      </c>
      <c r="O34">
        <v>181713.93952738601</v>
      </c>
      <c r="P34">
        <v>421368.67293202499</v>
      </c>
      <c r="Q34">
        <v>141564.996308223</v>
      </c>
      <c r="S34">
        <v>8691.0059999999994</v>
      </c>
      <c r="T34">
        <v>24289.323745913502</v>
      </c>
      <c r="U34">
        <v>192495.71252094899</v>
      </c>
      <c r="V34">
        <v>288743.56878142298</v>
      </c>
      <c r="X34">
        <v>8691.0059999999994</v>
      </c>
      <c r="Y34">
        <v>-111071.17849410301</v>
      </c>
    </row>
    <row r="35" spans="7:25" x14ac:dyDescent="0.25">
      <c r="G35">
        <v>8692.0059999999994</v>
      </c>
      <c r="H35">
        <v>0</v>
      </c>
      <c r="I35">
        <v>18.197499999999899</v>
      </c>
      <c r="J35">
        <v>29.939999999999898</v>
      </c>
      <c r="K35">
        <v>11.7425</v>
      </c>
      <c r="M35">
        <v>8692.0059999999994</v>
      </c>
      <c r="N35">
        <v>98112.231096415198</v>
      </c>
      <c r="O35">
        <v>181734.845527386</v>
      </c>
      <c r="P35">
        <v>421428.35993202502</v>
      </c>
      <c r="Q35">
        <v>141581.28330822301</v>
      </c>
      <c r="S35">
        <v>8692.0059999999994</v>
      </c>
      <c r="T35">
        <v>24289.323745913502</v>
      </c>
      <c r="U35">
        <v>192495.71252094899</v>
      </c>
      <c r="V35">
        <v>288743.56878142298</v>
      </c>
      <c r="X35">
        <v>8692.0059999999994</v>
      </c>
      <c r="Y35">
        <v>-111063.261494103</v>
      </c>
    </row>
    <row r="36" spans="7:25" x14ac:dyDescent="0.25">
      <c r="G36">
        <v>8693.0059999999994</v>
      </c>
      <c r="H36">
        <v>0</v>
      </c>
      <c r="I36">
        <v>22.796499999999899</v>
      </c>
      <c r="J36">
        <v>31.8599999999999</v>
      </c>
      <c r="K36">
        <v>9.0634999999999994</v>
      </c>
      <c r="M36">
        <v>8693.0059999999994</v>
      </c>
      <c r="N36">
        <v>98142.331096415204</v>
      </c>
      <c r="O36">
        <v>181755.75152738599</v>
      </c>
      <c r="P36">
        <v>421495.65293202503</v>
      </c>
      <c r="Q36">
        <v>141597.57030822299</v>
      </c>
      <c r="S36">
        <v>8693.0059999999994</v>
      </c>
      <c r="T36">
        <v>24289.323745913502</v>
      </c>
      <c r="U36">
        <v>192495.71252094899</v>
      </c>
      <c r="V36">
        <v>288743.56878142298</v>
      </c>
      <c r="X36">
        <v>8693.0059999999994</v>
      </c>
      <c r="Y36">
        <v>-111052.884494103</v>
      </c>
    </row>
    <row r="37" spans="7:25" x14ac:dyDescent="0.25">
      <c r="G37">
        <v>8694.0059999999994</v>
      </c>
      <c r="H37">
        <v>0</v>
      </c>
      <c r="I37">
        <v>34.586499999999901</v>
      </c>
      <c r="J37">
        <v>41.879999999999903</v>
      </c>
      <c r="K37">
        <v>7.2934999999999999</v>
      </c>
      <c r="M37">
        <v>8694.0059999999994</v>
      </c>
      <c r="N37">
        <v>98189.522096415196</v>
      </c>
      <c r="O37">
        <v>181776.65752738601</v>
      </c>
      <c r="P37">
        <v>421580.03693202499</v>
      </c>
      <c r="Q37">
        <v>141613.857308223</v>
      </c>
      <c r="S37">
        <v>8694.0059999999994</v>
      </c>
      <c r="T37">
        <v>24289.323745913502</v>
      </c>
      <c r="U37">
        <v>192495.71252094899</v>
      </c>
      <c r="V37">
        <v>288743.56878142298</v>
      </c>
      <c r="X37">
        <v>8694.0059999999994</v>
      </c>
      <c r="Y37">
        <v>-111035.139494103</v>
      </c>
    </row>
    <row r="38" spans="7:25" x14ac:dyDescent="0.25">
      <c r="G38">
        <v>8695.0059999999994</v>
      </c>
      <c r="H38">
        <v>0</v>
      </c>
      <c r="I38">
        <v>41.959499999999899</v>
      </c>
      <c r="J38">
        <v>48.639999999999901</v>
      </c>
      <c r="K38">
        <v>6.6805000000000003</v>
      </c>
      <c r="M38">
        <v>8695.0059999999994</v>
      </c>
      <c r="N38">
        <v>98251.781096415201</v>
      </c>
      <c r="O38">
        <v>181797.563527386</v>
      </c>
      <c r="P38">
        <v>421679.48893202498</v>
      </c>
      <c r="Q38">
        <v>141630.14430822301</v>
      </c>
      <c r="S38">
        <v>8695.0059999999994</v>
      </c>
      <c r="T38">
        <v>24289.323745913502</v>
      </c>
      <c r="U38">
        <v>192495.71252094899</v>
      </c>
      <c r="V38">
        <v>288743.56878142298</v>
      </c>
      <c r="X38">
        <v>8695.0059999999994</v>
      </c>
      <c r="Y38">
        <v>-111010.121494103</v>
      </c>
    </row>
    <row r="39" spans="7:25" x14ac:dyDescent="0.25">
      <c r="G39">
        <v>8696.0059999999994</v>
      </c>
      <c r="H39">
        <v>0.33600000000000002</v>
      </c>
      <c r="I39">
        <v>46.089499999999902</v>
      </c>
      <c r="J39">
        <v>53.209999999999901</v>
      </c>
      <c r="K39">
        <v>6.7845000000000004</v>
      </c>
      <c r="M39">
        <v>8696.0059999999994</v>
      </c>
      <c r="N39">
        <v>98324.295096415197</v>
      </c>
      <c r="O39">
        <v>181818.46952738601</v>
      </c>
      <c r="P39">
        <v>421789.19493202498</v>
      </c>
      <c r="Q39">
        <v>141646.430308223</v>
      </c>
      <c r="S39">
        <v>8696.0059999999994</v>
      </c>
      <c r="T39">
        <v>24289.323745913502</v>
      </c>
      <c r="U39">
        <v>192495.71252094899</v>
      </c>
      <c r="V39">
        <v>288743.56878142298</v>
      </c>
      <c r="X39">
        <v>8696.0059999999994</v>
      </c>
      <c r="Y39">
        <v>-110981.210494103</v>
      </c>
    </row>
    <row r="40" spans="7:25" x14ac:dyDescent="0.25">
      <c r="G40">
        <v>8697.0059999999994</v>
      </c>
      <c r="H40">
        <v>17.010999999999999</v>
      </c>
      <c r="I40">
        <v>39.525499999999901</v>
      </c>
      <c r="J40">
        <v>63.499999999999901</v>
      </c>
      <c r="K40">
        <v>6.8055000000000003</v>
      </c>
      <c r="M40">
        <v>8697.0059999999994</v>
      </c>
      <c r="N40">
        <v>98395.798096415194</v>
      </c>
      <c r="O40">
        <v>181839.375527386</v>
      </c>
      <c r="P40">
        <v>421897.89093202498</v>
      </c>
      <c r="Q40">
        <v>141662.71730822299</v>
      </c>
      <c r="S40">
        <v>8697.0059999999994</v>
      </c>
      <c r="T40">
        <v>24289.323745913502</v>
      </c>
      <c r="U40">
        <v>192495.969520949</v>
      </c>
      <c r="V40">
        <v>288743.95478142297</v>
      </c>
      <c r="X40">
        <v>8697.0059999999994</v>
      </c>
      <c r="Y40">
        <v>-110955.17849410301</v>
      </c>
    </row>
    <row r="41" spans="7:25" x14ac:dyDescent="0.25">
      <c r="G41">
        <v>8698.0059999999994</v>
      </c>
      <c r="H41">
        <v>64.551000000000002</v>
      </c>
      <c r="I41">
        <v>-4.8195000000000103</v>
      </c>
      <c r="J41">
        <v>68.569999999999894</v>
      </c>
      <c r="K41">
        <v>5.6734999999999998</v>
      </c>
      <c r="M41">
        <v>8698.0059999999994</v>
      </c>
      <c r="N41">
        <v>98421.440096415201</v>
      </c>
      <c r="O41">
        <v>181860.28152738599</v>
      </c>
      <c r="P41">
        <v>421960.72493202501</v>
      </c>
      <c r="Q41">
        <v>141679.004308223</v>
      </c>
      <c r="S41">
        <v>8698.0059999999994</v>
      </c>
      <c r="T41">
        <v>24289.323745913502</v>
      </c>
      <c r="U41">
        <v>192504.556520949</v>
      </c>
      <c r="V41">
        <v>288756.83478142298</v>
      </c>
      <c r="X41">
        <v>8698.0059999999994</v>
      </c>
      <c r="Y41">
        <v>-110958.272494103</v>
      </c>
    </row>
    <row r="42" spans="7:25" x14ac:dyDescent="0.25">
      <c r="G42">
        <v>8699.0059999999994</v>
      </c>
      <c r="H42">
        <v>94.17</v>
      </c>
      <c r="I42">
        <v>-33.369500000000002</v>
      </c>
      <c r="J42">
        <v>71.169999999999902</v>
      </c>
      <c r="K42">
        <v>5.6855000000000002</v>
      </c>
      <c r="M42">
        <v>8699.0059999999994</v>
      </c>
      <c r="N42">
        <v>98428.390096415198</v>
      </c>
      <c r="O42">
        <v>181881.18652738599</v>
      </c>
      <c r="P42">
        <v>422004.86893202498</v>
      </c>
      <c r="Q42">
        <v>141695.29130822301</v>
      </c>
      <c r="S42">
        <v>8699.0059999999994</v>
      </c>
      <c r="T42">
        <v>24289.323745913502</v>
      </c>
      <c r="U42">
        <v>192519.518520949</v>
      </c>
      <c r="V42">
        <v>288779.27878142399</v>
      </c>
      <c r="X42">
        <v>8699.0059999999994</v>
      </c>
      <c r="Y42">
        <v>-110979.283494103</v>
      </c>
    </row>
    <row r="43" spans="7:25" x14ac:dyDescent="0.25">
      <c r="G43">
        <v>8700.0059999999994</v>
      </c>
      <c r="H43">
        <v>89.775999999999996</v>
      </c>
      <c r="I43">
        <v>-42.9925</v>
      </c>
      <c r="J43">
        <v>60.909999999999897</v>
      </c>
      <c r="K43">
        <v>7.1775000000000002</v>
      </c>
      <c r="M43">
        <v>8700.0059999999994</v>
      </c>
      <c r="N43">
        <v>98419.308096415203</v>
      </c>
      <c r="O43">
        <v>181902.092527386</v>
      </c>
      <c r="P43">
        <v>422032.97893202503</v>
      </c>
      <c r="Q43">
        <v>141711.57830822299</v>
      </c>
      <c r="S43">
        <v>8700.0059999999994</v>
      </c>
      <c r="T43">
        <v>24289.323745913502</v>
      </c>
      <c r="U43">
        <v>192533.69352094899</v>
      </c>
      <c r="V43">
        <v>288800.53978142398</v>
      </c>
      <c r="X43">
        <v>8700.0059999999994</v>
      </c>
      <c r="Y43">
        <v>-111005.010494103</v>
      </c>
    </row>
    <row r="44" spans="7:25" x14ac:dyDescent="0.25">
      <c r="G44">
        <v>8701.0059999999994</v>
      </c>
      <c r="H44">
        <v>62.941000000000003</v>
      </c>
      <c r="I44">
        <v>-20.439499999999999</v>
      </c>
      <c r="J44">
        <v>60.499999999999901</v>
      </c>
      <c r="K44">
        <v>10.7155</v>
      </c>
      <c r="M44">
        <v>8701.0059999999994</v>
      </c>
      <c r="N44">
        <v>98421.982096415202</v>
      </c>
      <c r="O44">
        <v>181922.99852738599</v>
      </c>
      <c r="P44">
        <v>422072.84493202501</v>
      </c>
      <c r="Q44">
        <v>141727.86430822301</v>
      </c>
      <c r="S44">
        <v>8701.0059999999994</v>
      </c>
      <c r="T44">
        <v>24289.323745913502</v>
      </c>
      <c r="U44">
        <v>192541.87552094899</v>
      </c>
      <c r="V44">
        <v>288812.81278142298</v>
      </c>
      <c r="X44">
        <v>8701.0059999999994</v>
      </c>
      <c r="Y44">
        <v>-111016.09149410301</v>
      </c>
    </row>
    <row r="45" spans="7:25" x14ac:dyDescent="0.25">
      <c r="G45">
        <v>8702.0059999999994</v>
      </c>
      <c r="H45">
        <v>27.309000000000001</v>
      </c>
      <c r="I45">
        <v>16.2804999999999</v>
      </c>
      <c r="J45">
        <v>61.509999999999899</v>
      </c>
      <c r="K45">
        <v>15.974500000000001</v>
      </c>
      <c r="M45">
        <v>8702.0059999999994</v>
      </c>
      <c r="N45">
        <v>98449.075096415196</v>
      </c>
      <c r="O45">
        <v>181943.90452738601</v>
      </c>
      <c r="P45">
        <v>422137.13093202497</v>
      </c>
      <c r="Q45">
        <v>141744.15130822299</v>
      </c>
      <c r="S45">
        <v>8702.0059999999994</v>
      </c>
      <c r="T45">
        <v>24289.323745913502</v>
      </c>
      <c r="U45">
        <v>192542.888520949</v>
      </c>
      <c r="V45">
        <v>288814.33278142399</v>
      </c>
      <c r="X45">
        <v>8702.0059999999994</v>
      </c>
      <c r="Y45">
        <v>-111008.384494103</v>
      </c>
    </row>
    <row r="46" spans="7:25" x14ac:dyDescent="0.25">
      <c r="G46">
        <v>8703.0059999999994</v>
      </c>
      <c r="H46">
        <v>2.488</v>
      </c>
      <c r="I46">
        <v>40.096499999999899</v>
      </c>
      <c r="J46">
        <v>66.629999999999896</v>
      </c>
      <c r="K46">
        <v>24.045500000000001</v>
      </c>
      <c r="M46">
        <v>8703.0059999999994</v>
      </c>
      <c r="N46">
        <v>98505.309096415207</v>
      </c>
      <c r="O46">
        <v>181964.810527386</v>
      </c>
      <c r="P46">
        <v>422230.557932025</v>
      </c>
      <c r="Q46">
        <v>141760.43830822301</v>
      </c>
      <c r="S46">
        <v>8703.0059999999994</v>
      </c>
      <c r="T46">
        <v>24289.323745913502</v>
      </c>
      <c r="U46">
        <v>192542.888520949</v>
      </c>
      <c r="V46">
        <v>288814.33278142399</v>
      </c>
      <c r="X46">
        <v>8703.0059999999994</v>
      </c>
      <c r="Y46">
        <v>-110992.435494103</v>
      </c>
    </row>
    <row r="47" spans="7:25" x14ac:dyDescent="0.25">
      <c r="G47">
        <v>8704.0059999999994</v>
      </c>
      <c r="H47">
        <v>0.01</v>
      </c>
      <c r="I47">
        <v>52.494499999999903</v>
      </c>
      <c r="J47">
        <v>85.229999999999905</v>
      </c>
      <c r="K47">
        <v>32.725499999999997</v>
      </c>
      <c r="M47">
        <v>8704.0059999999994</v>
      </c>
      <c r="N47">
        <v>98580.615096415204</v>
      </c>
      <c r="O47">
        <v>181985.71652738599</v>
      </c>
      <c r="P47">
        <v>422343.05693202501</v>
      </c>
      <c r="Q47">
        <v>141776.72530822299</v>
      </c>
      <c r="S47">
        <v>8704.0059999999994</v>
      </c>
      <c r="T47">
        <v>24289.323745913502</v>
      </c>
      <c r="U47">
        <v>192542.888520949</v>
      </c>
      <c r="V47">
        <v>288814.33278142399</v>
      </c>
      <c r="X47">
        <v>8704.0059999999994</v>
      </c>
      <c r="Y47">
        <v>-110974.348494103</v>
      </c>
    </row>
    <row r="48" spans="7:25" x14ac:dyDescent="0.25">
      <c r="G48">
        <v>8705.0059999999994</v>
      </c>
      <c r="H48">
        <v>0</v>
      </c>
      <c r="I48">
        <v>72.039499999999904</v>
      </c>
      <c r="J48">
        <v>110.709999999999</v>
      </c>
      <c r="K48">
        <v>38.670499999999997</v>
      </c>
      <c r="M48">
        <v>8705.0059999999994</v>
      </c>
      <c r="N48">
        <v>98681.059096415207</v>
      </c>
      <c r="O48">
        <v>182006.622527386</v>
      </c>
      <c r="P48">
        <v>422480.69293202501</v>
      </c>
      <c r="Q48">
        <v>141793.012308223</v>
      </c>
      <c r="S48">
        <v>8705.0059999999994</v>
      </c>
      <c r="T48">
        <v>24289.323745913502</v>
      </c>
      <c r="U48">
        <v>192542.888520949</v>
      </c>
      <c r="V48">
        <v>288814.33278142399</v>
      </c>
      <c r="X48">
        <v>8705.0059999999994</v>
      </c>
      <c r="Y48">
        <v>-110951.38749410299</v>
      </c>
    </row>
    <row r="49" spans="7:25" x14ac:dyDescent="0.25">
      <c r="G49">
        <v>8706.0059999999994</v>
      </c>
      <c r="H49">
        <v>0</v>
      </c>
      <c r="I49">
        <v>74.920499999999905</v>
      </c>
      <c r="J49">
        <v>117.83999999999899</v>
      </c>
      <c r="K49">
        <v>42.919499999999999</v>
      </c>
      <c r="M49">
        <v>8706.0059999999994</v>
      </c>
      <c r="N49">
        <v>98781.997096415202</v>
      </c>
      <c r="O49">
        <v>182027.52852738599</v>
      </c>
      <c r="P49">
        <v>422618.823932025</v>
      </c>
      <c r="Q49">
        <v>141809.29830822299</v>
      </c>
      <c r="S49">
        <v>8706.0059999999994</v>
      </c>
      <c r="T49">
        <v>24289.323745913502</v>
      </c>
      <c r="U49">
        <v>192542.888520949</v>
      </c>
      <c r="V49">
        <v>288814.33278142399</v>
      </c>
      <c r="X49">
        <v>8706.0059999999994</v>
      </c>
      <c r="Y49">
        <v>-110931.673494103</v>
      </c>
    </row>
    <row r="50" spans="7:25" x14ac:dyDescent="0.25">
      <c r="G50">
        <v>8707.0059999999994</v>
      </c>
      <c r="H50">
        <v>0</v>
      </c>
      <c r="I50">
        <v>49.0564999999999</v>
      </c>
      <c r="J50">
        <v>96.079999999999899</v>
      </c>
      <c r="K50">
        <v>47.023499999999999</v>
      </c>
      <c r="M50">
        <v>8707.0059999999994</v>
      </c>
      <c r="N50">
        <v>98842.161096415206</v>
      </c>
      <c r="O50">
        <v>182048.43452738601</v>
      </c>
      <c r="P50">
        <v>422716.18093202502</v>
      </c>
      <c r="Q50">
        <v>141825.585308223</v>
      </c>
      <c r="S50">
        <v>8707.0059999999994</v>
      </c>
      <c r="T50">
        <v>24289.323745913502</v>
      </c>
      <c r="U50">
        <v>192542.888520949</v>
      </c>
      <c r="V50">
        <v>288814.33278142399</v>
      </c>
      <c r="X50">
        <v>8707.0059999999994</v>
      </c>
      <c r="Y50">
        <v>-110920.597494103</v>
      </c>
    </row>
    <row r="51" spans="7:25" x14ac:dyDescent="0.25">
      <c r="G51">
        <v>8708.0059999999994</v>
      </c>
      <c r="H51">
        <v>0</v>
      </c>
      <c r="I51">
        <v>37.4104999999999</v>
      </c>
      <c r="J51">
        <v>89.249999999999901</v>
      </c>
      <c r="K51">
        <v>51.839500000000001</v>
      </c>
      <c r="M51">
        <v>8708.0059999999994</v>
      </c>
      <c r="N51">
        <v>98878.219096415196</v>
      </c>
      <c r="O51">
        <v>182069.33952738601</v>
      </c>
      <c r="P51">
        <v>422789.43093202502</v>
      </c>
      <c r="Q51">
        <v>141841.87230822301</v>
      </c>
      <c r="S51">
        <v>8708.0059999999994</v>
      </c>
      <c r="T51">
        <v>24289.323745913502</v>
      </c>
      <c r="U51">
        <v>192542.888520949</v>
      </c>
      <c r="V51">
        <v>288814.33278142399</v>
      </c>
      <c r="X51">
        <v>8708.0059999999994</v>
      </c>
      <c r="Y51">
        <v>-110913.488494103</v>
      </c>
    </row>
    <row r="52" spans="7:25" x14ac:dyDescent="0.25">
      <c r="G52">
        <v>8709.0059999999994</v>
      </c>
      <c r="H52">
        <v>0</v>
      </c>
      <c r="I52">
        <v>18.514499999999899</v>
      </c>
      <c r="J52">
        <v>72.969999999999899</v>
      </c>
      <c r="K52">
        <v>54.455500000000001</v>
      </c>
      <c r="M52">
        <v>8709.0059999999994</v>
      </c>
      <c r="N52">
        <v>98895.732096415202</v>
      </c>
      <c r="O52">
        <v>182090.245527386</v>
      </c>
      <c r="P52">
        <v>422844.13693202502</v>
      </c>
      <c r="Q52">
        <v>141858.159308223</v>
      </c>
      <c r="S52">
        <v>8709.0059999999994</v>
      </c>
      <c r="T52">
        <v>24289.323745913502</v>
      </c>
      <c r="U52">
        <v>192542.888520949</v>
      </c>
      <c r="V52">
        <v>288814.33278142399</v>
      </c>
      <c r="X52">
        <v>8709.0059999999994</v>
      </c>
      <c r="Y52">
        <v>-110910.08749410301</v>
      </c>
    </row>
    <row r="53" spans="7:25" x14ac:dyDescent="0.25">
      <c r="G53">
        <v>8710.0059999999994</v>
      </c>
      <c r="H53">
        <v>0</v>
      </c>
      <c r="I53">
        <v>10.3974999999999</v>
      </c>
      <c r="J53">
        <v>66.8599999999999</v>
      </c>
      <c r="K53">
        <v>56.462499999999999</v>
      </c>
      <c r="M53">
        <v>8710.0059999999994</v>
      </c>
      <c r="N53">
        <v>98905.281096415201</v>
      </c>
      <c r="O53">
        <v>182111.15152738601</v>
      </c>
      <c r="P53">
        <v>422890.87893202499</v>
      </c>
      <c r="Q53">
        <v>141874.44630822301</v>
      </c>
      <c r="S53">
        <v>8710.0059999999994</v>
      </c>
      <c r="T53">
        <v>24289.323745913502</v>
      </c>
      <c r="U53">
        <v>192542.888520949</v>
      </c>
      <c r="V53">
        <v>288814.33278142399</v>
      </c>
      <c r="X53">
        <v>8710.0059999999994</v>
      </c>
      <c r="Y53">
        <v>-110908.33449410299</v>
      </c>
    </row>
    <row r="54" spans="7:25" x14ac:dyDescent="0.25">
      <c r="G54">
        <v>8711.0059999999994</v>
      </c>
      <c r="H54">
        <v>0</v>
      </c>
      <c r="I54">
        <v>4.9999999998817603E-4</v>
      </c>
      <c r="J54">
        <v>55.309999999999903</v>
      </c>
      <c r="K54">
        <v>58.743499999999997</v>
      </c>
      <c r="M54">
        <v>8711.0059999999994</v>
      </c>
      <c r="N54">
        <v>98905.281096415201</v>
      </c>
      <c r="O54">
        <v>182132.057527386</v>
      </c>
      <c r="P54">
        <v>422928.07093202497</v>
      </c>
      <c r="Q54">
        <v>141890.73330822299</v>
      </c>
      <c r="S54">
        <v>8711.0059999999994</v>
      </c>
      <c r="T54">
        <v>24289.928745913501</v>
      </c>
      <c r="U54">
        <v>192542.888520949</v>
      </c>
      <c r="V54">
        <v>288814.33278142399</v>
      </c>
      <c r="X54">
        <v>8711.0059999999994</v>
      </c>
      <c r="Y54">
        <v>-110908.888494103</v>
      </c>
    </row>
    <row r="55" spans="7:25" x14ac:dyDescent="0.25">
      <c r="G55">
        <v>8712.0059999999994</v>
      </c>
      <c r="H55">
        <v>0</v>
      </c>
      <c r="I55">
        <v>4.9999999998817603E-4</v>
      </c>
      <c r="J55">
        <v>43.079999999999899</v>
      </c>
      <c r="K55">
        <v>59.471499999999999</v>
      </c>
      <c r="M55">
        <v>8712.0059999999994</v>
      </c>
      <c r="N55">
        <v>98905.281096415201</v>
      </c>
      <c r="O55">
        <v>182152.96352738599</v>
      </c>
      <c r="P55">
        <v>422965.263932025</v>
      </c>
      <c r="Q55">
        <v>141907.01930822301</v>
      </c>
      <c r="S55">
        <v>8712.0059999999994</v>
      </c>
      <c r="T55">
        <v>24293.481745913501</v>
      </c>
      <c r="U55">
        <v>192542.888520949</v>
      </c>
      <c r="V55">
        <v>288814.33278142399</v>
      </c>
      <c r="X55">
        <v>8712.0059999999994</v>
      </c>
      <c r="Y55">
        <v>-110911.46249410301</v>
      </c>
    </row>
    <row r="56" spans="7:25" x14ac:dyDescent="0.25">
      <c r="G56">
        <v>8713.0059999999994</v>
      </c>
      <c r="H56">
        <v>0</v>
      </c>
      <c r="I56">
        <v>4.9999999998817603E-4</v>
      </c>
      <c r="J56">
        <v>35.169999999999902</v>
      </c>
      <c r="K56">
        <v>59.5565</v>
      </c>
      <c r="M56">
        <v>8713.0059999999994</v>
      </c>
      <c r="N56">
        <v>98905.281096415201</v>
      </c>
      <c r="O56">
        <v>182173.86952738601</v>
      </c>
      <c r="P56">
        <v>423002.45693202497</v>
      </c>
      <c r="Q56">
        <v>141923.30630822299</v>
      </c>
      <c r="S56">
        <v>8713.0059999999994</v>
      </c>
      <c r="T56">
        <v>24298.7107459135</v>
      </c>
      <c r="U56">
        <v>192542.888520949</v>
      </c>
      <c r="V56">
        <v>288814.33278142399</v>
      </c>
      <c r="X56">
        <v>8713.0059999999994</v>
      </c>
      <c r="Y56">
        <v>-110914.907494103</v>
      </c>
    </row>
    <row r="57" spans="7:25" x14ac:dyDescent="0.25">
      <c r="G57">
        <v>8714.0059999999994</v>
      </c>
      <c r="H57">
        <v>0</v>
      </c>
      <c r="I57">
        <v>4.9999999998817603E-4</v>
      </c>
      <c r="J57">
        <v>33.869999999999898</v>
      </c>
      <c r="K57">
        <v>61.149500000000003</v>
      </c>
      <c r="M57">
        <v>8714.0059999999994</v>
      </c>
      <c r="N57">
        <v>98905.281096415201</v>
      </c>
      <c r="O57">
        <v>182194.77552738599</v>
      </c>
      <c r="P57">
        <v>423039.64893202501</v>
      </c>
      <c r="Q57">
        <v>141939.593308223</v>
      </c>
      <c r="S57">
        <v>8714.0059999999994</v>
      </c>
      <c r="T57">
        <v>24304.514745913501</v>
      </c>
      <c r="U57">
        <v>192542.888520949</v>
      </c>
      <c r="V57">
        <v>288814.33278142399</v>
      </c>
      <c r="X57">
        <v>8714.0059999999994</v>
      </c>
      <c r="Y57">
        <v>-110918.901494103</v>
      </c>
    </row>
    <row r="58" spans="7:25" x14ac:dyDescent="0.25">
      <c r="G58">
        <v>8715.0059999999994</v>
      </c>
      <c r="H58">
        <v>0</v>
      </c>
      <c r="I58">
        <v>4.9999999998817603E-4</v>
      </c>
      <c r="J58">
        <v>31.6299999999999</v>
      </c>
      <c r="K58">
        <v>63.689500000000002</v>
      </c>
      <c r="M58">
        <v>8715.0059999999994</v>
      </c>
      <c r="N58">
        <v>98905.281096415201</v>
      </c>
      <c r="O58">
        <v>182215.68152738601</v>
      </c>
      <c r="P58">
        <v>423076.84193202498</v>
      </c>
      <c r="Q58">
        <v>141955.88030822299</v>
      </c>
      <c r="S58">
        <v>8715.0059999999994</v>
      </c>
      <c r="T58">
        <v>24311.163745913502</v>
      </c>
      <c r="U58">
        <v>192542.888520949</v>
      </c>
      <c r="V58">
        <v>288814.33278142399</v>
      </c>
      <c r="X58">
        <v>8715.0059999999994</v>
      </c>
      <c r="Y58">
        <v>-110924.105494103</v>
      </c>
    </row>
    <row r="59" spans="7:25" x14ac:dyDescent="0.25">
      <c r="G59">
        <v>8716.0059999999994</v>
      </c>
      <c r="H59">
        <v>0</v>
      </c>
      <c r="I59">
        <v>4.9999999998817603E-4</v>
      </c>
      <c r="J59">
        <v>31.049999999999901</v>
      </c>
      <c r="K59">
        <v>65.239500000000007</v>
      </c>
      <c r="M59">
        <v>8716.0059999999994</v>
      </c>
      <c r="N59">
        <v>98905.281096415201</v>
      </c>
      <c r="O59">
        <v>182236.58652738601</v>
      </c>
      <c r="P59">
        <v>423114.03493202501</v>
      </c>
      <c r="Q59">
        <v>141972.167308223</v>
      </c>
      <c r="S59">
        <v>8716.0059999999994</v>
      </c>
      <c r="T59">
        <v>24318.3147459135</v>
      </c>
      <c r="U59">
        <v>192542.888520949</v>
      </c>
      <c r="V59">
        <v>288814.33278142399</v>
      </c>
      <c r="X59">
        <v>8716.0059999999994</v>
      </c>
      <c r="Y59">
        <v>-110928.953494103</v>
      </c>
    </row>
    <row r="60" spans="7:25" x14ac:dyDescent="0.25">
      <c r="G60">
        <v>8717.0059999999994</v>
      </c>
      <c r="H60">
        <v>0</v>
      </c>
      <c r="I60">
        <v>-4.9500000000008898E-2</v>
      </c>
      <c r="J60">
        <v>33.509999999999899</v>
      </c>
      <c r="K60">
        <v>66.095500000000001</v>
      </c>
      <c r="M60">
        <v>8717.0059999999994</v>
      </c>
      <c r="N60">
        <v>98905.270096415203</v>
      </c>
      <c r="O60">
        <v>182257.492527386</v>
      </c>
      <c r="P60">
        <v>423151.21693202498</v>
      </c>
      <c r="Q60">
        <v>141988.45330822299</v>
      </c>
      <c r="S60">
        <v>8717.0059999999994</v>
      </c>
      <c r="T60">
        <v>24325.272745913499</v>
      </c>
      <c r="U60">
        <v>192542.89952094899</v>
      </c>
      <c r="V60">
        <v>288814.34878142399</v>
      </c>
      <c r="X60">
        <v>8717.0059999999994</v>
      </c>
      <c r="Y60">
        <v>-110933.38349410301</v>
      </c>
    </row>
    <row r="61" spans="7:25" x14ac:dyDescent="0.25">
      <c r="G61">
        <v>8718.0059999999994</v>
      </c>
      <c r="H61">
        <v>0</v>
      </c>
      <c r="I61">
        <v>4.9999999998817603E-4</v>
      </c>
      <c r="J61">
        <v>41.019999999999897</v>
      </c>
      <c r="K61">
        <v>67.032499999999999</v>
      </c>
      <c r="M61">
        <v>8718.0059999999994</v>
      </c>
      <c r="N61">
        <v>98905.270096415203</v>
      </c>
      <c r="O61">
        <v>182278.39852738599</v>
      </c>
      <c r="P61">
        <v>423188.40893202502</v>
      </c>
      <c r="Q61">
        <v>142004.740308223</v>
      </c>
      <c r="S61">
        <v>8718.0059999999994</v>
      </c>
      <c r="T61">
        <v>24330.8847459135</v>
      </c>
      <c r="U61">
        <v>192542.89952094899</v>
      </c>
      <c r="V61">
        <v>288814.34878142399</v>
      </c>
      <c r="X61">
        <v>8718.0059999999994</v>
      </c>
      <c r="Y61">
        <v>-110937.28149410299</v>
      </c>
    </row>
    <row r="62" spans="7:25" x14ac:dyDescent="0.25">
      <c r="G62">
        <v>8719.0059999999994</v>
      </c>
      <c r="H62">
        <v>0</v>
      </c>
      <c r="I62">
        <v>-7.9500000000010104E-2</v>
      </c>
      <c r="J62">
        <v>47.339999999999897</v>
      </c>
      <c r="K62">
        <v>67.865499999999997</v>
      </c>
      <c r="M62">
        <v>8719.0059999999994</v>
      </c>
      <c r="N62">
        <v>98905.253096415196</v>
      </c>
      <c r="O62">
        <v>182299.304527386</v>
      </c>
      <c r="P62">
        <v>423225.584932025</v>
      </c>
      <c r="Q62">
        <v>142021.02730822301</v>
      </c>
      <c r="S62">
        <v>8719.0059999999994</v>
      </c>
      <c r="T62">
        <v>24335.306745913502</v>
      </c>
      <c r="U62">
        <v>192542.91652094899</v>
      </c>
      <c r="V62">
        <v>288814.37478142302</v>
      </c>
      <c r="X62">
        <v>8719.0059999999994</v>
      </c>
      <c r="Y62">
        <v>-110941.064494103</v>
      </c>
    </row>
    <row r="63" spans="7:25" x14ac:dyDescent="0.25">
      <c r="G63">
        <v>8720.0059999999994</v>
      </c>
      <c r="H63">
        <v>0.03</v>
      </c>
      <c r="I63">
        <v>4.9999999998817603E-4</v>
      </c>
      <c r="J63">
        <v>61.1099999999999</v>
      </c>
      <c r="K63">
        <v>68.709500000000006</v>
      </c>
      <c r="M63">
        <v>8720.0059999999994</v>
      </c>
      <c r="N63">
        <v>98905.253096415196</v>
      </c>
      <c r="O63">
        <v>182320.21052738599</v>
      </c>
      <c r="P63">
        <v>423262.77793202503</v>
      </c>
      <c r="Q63">
        <v>142037.31430822299</v>
      </c>
      <c r="S63">
        <v>8720.0059999999994</v>
      </c>
      <c r="T63">
        <v>24336.9597459135</v>
      </c>
      <c r="U63">
        <v>192542.91652094899</v>
      </c>
      <c r="V63">
        <v>288814.37478142302</v>
      </c>
      <c r="X63">
        <v>8720.0059999999994</v>
      </c>
      <c r="Y63">
        <v>-110942.666494103</v>
      </c>
    </row>
    <row r="64" spans="7:25" x14ac:dyDescent="0.25">
      <c r="G64">
        <v>8721.0059999999994</v>
      </c>
      <c r="H64">
        <v>3.2480000000000002</v>
      </c>
      <c r="I64">
        <v>4.9999999998817603E-4</v>
      </c>
      <c r="J64">
        <v>66.899999999999906</v>
      </c>
      <c r="K64">
        <v>69.078500000000005</v>
      </c>
      <c r="M64">
        <v>8721.0059999999994</v>
      </c>
      <c r="N64">
        <v>98905.253096415196</v>
      </c>
      <c r="O64">
        <v>182341.11652738601</v>
      </c>
      <c r="P64">
        <v>423299.96993202501</v>
      </c>
      <c r="Q64">
        <v>142053.60130822301</v>
      </c>
      <c r="S64">
        <v>8721.0059999999994</v>
      </c>
      <c r="T64">
        <v>24338.144745913502</v>
      </c>
      <c r="U64">
        <v>192542.91652094899</v>
      </c>
      <c r="V64">
        <v>288814.37478142302</v>
      </c>
      <c r="X64">
        <v>8721.0059999999994</v>
      </c>
      <c r="Y64">
        <v>-110943.799494103</v>
      </c>
    </row>
    <row r="65" spans="7:25" x14ac:dyDescent="0.25">
      <c r="G65">
        <v>8722.0059999999994</v>
      </c>
      <c r="H65">
        <v>12.686999999999999</v>
      </c>
      <c r="I65">
        <v>-0.261500000000012</v>
      </c>
      <c r="J65">
        <v>63.209999999999901</v>
      </c>
      <c r="K65">
        <v>69.860500000000002</v>
      </c>
      <c r="M65">
        <v>8722.0059999999994</v>
      </c>
      <c r="N65">
        <v>98905.196096415195</v>
      </c>
      <c r="O65">
        <v>182362.022527386</v>
      </c>
      <c r="P65">
        <v>423337.10593202501</v>
      </c>
      <c r="Q65">
        <v>142069.88830822299</v>
      </c>
      <c r="S65">
        <v>8722.0059999999994</v>
      </c>
      <c r="T65">
        <v>24342.3507459135</v>
      </c>
      <c r="U65">
        <v>192542.97352094899</v>
      </c>
      <c r="V65">
        <v>288814.46078142303</v>
      </c>
      <c r="X65">
        <v>8722.0059999999994</v>
      </c>
      <c r="Y65">
        <v>-110947.787494103</v>
      </c>
    </row>
    <row r="66" spans="7:25" x14ac:dyDescent="0.25">
      <c r="G66">
        <v>8723.0059999999994</v>
      </c>
      <c r="H66">
        <v>20.625</v>
      </c>
      <c r="I66">
        <v>-3.3195000000000099</v>
      </c>
      <c r="J66">
        <v>64.159999999999897</v>
      </c>
      <c r="K66">
        <v>68.563500000000005</v>
      </c>
      <c r="M66">
        <v>8723.0059999999994</v>
      </c>
      <c r="N66">
        <v>98904.4700964152</v>
      </c>
      <c r="O66">
        <v>182382.92852738599</v>
      </c>
      <c r="P66">
        <v>423373.57293202501</v>
      </c>
      <c r="Q66">
        <v>142086.17430822301</v>
      </c>
      <c r="S66">
        <v>8723.0059999999994</v>
      </c>
      <c r="T66">
        <v>24347.7247459135</v>
      </c>
      <c r="U66">
        <v>192543.69952094901</v>
      </c>
      <c r="V66">
        <v>288815.54878142301</v>
      </c>
      <c r="X66">
        <v>8723.0059999999994</v>
      </c>
      <c r="Y66">
        <v>-110953.616494103</v>
      </c>
    </row>
    <row r="67" spans="7:25" x14ac:dyDescent="0.25">
      <c r="G67">
        <v>8724.0059999999994</v>
      </c>
      <c r="H67">
        <v>21.917999999999999</v>
      </c>
      <c r="I67">
        <v>-4.8285000000000098</v>
      </c>
      <c r="J67">
        <v>63.189999999999898</v>
      </c>
      <c r="K67">
        <v>66.4435</v>
      </c>
      <c r="M67">
        <v>8724.0059999999994</v>
      </c>
      <c r="N67">
        <v>98903.400096415193</v>
      </c>
      <c r="O67">
        <v>182403.834527386</v>
      </c>
      <c r="P67">
        <v>423409.69493202498</v>
      </c>
      <c r="Q67">
        <v>142102.46130822299</v>
      </c>
      <c r="S67">
        <v>8724.0059999999994</v>
      </c>
      <c r="T67">
        <v>24353.1557459135</v>
      </c>
      <c r="U67">
        <v>192544.76952094899</v>
      </c>
      <c r="V67">
        <v>288817.15478142397</v>
      </c>
      <c r="X67">
        <v>8724.0059999999994</v>
      </c>
      <c r="Y67">
        <v>-110959.939494103</v>
      </c>
    </row>
    <row r="68" spans="7:25" x14ac:dyDescent="0.25">
      <c r="G68">
        <v>8725.0059999999994</v>
      </c>
      <c r="H68">
        <v>18.581</v>
      </c>
      <c r="I68">
        <v>-0.82650000000001</v>
      </c>
      <c r="J68">
        <v>66.649999999999906</v>
      </c>
      <c r="K68">
        <v>65.535499999999999</v>
      </c>
      <c r="M68">
        <v>8725.0059999999994</v>
      </c>
      <c r="N68">
        <v>98903.216096415199</v>
      </c>
      <c r="O68">
        <v>182424.739527386</v>
      </c>
      <c r="P68">
        <v>423446.703932025</v>
      </c>
      <c r="Q68">
        <v>142118.748308223</v>
      </c>
      <c r="S68">
        <v>8725.0059999999994</v>
      </c>
      <c r="T68">
        <v>24356.9967459135</v>
      </c>
      <c r="U68">
        <v>192544.953520949</v>
      </c>
      <c r="V68">
        <v>288817.429781424</v>
      </c>
      <c r="X68">
        <v>8725.0059999999994</v>
      </c>
      <c r="Y68">
        <v>-110964.113494103</v>
      </c>
    </row>
    <row r="69" spans="7:25" x14ac:dyDescent="0.25">
      <c r="G69">
        <v>8726.0059999999994</v>
      </c>
      <c r="H69">
        <v>10.406000000000001</v>
      </c>
      <c r="I69">
        <v>-0.692500000000009</v>
      </c>
      <c r="J69">
        <v>63.389999999999901</v>
      </c>
      <c r="K69">
        <v>61.049500000000002</v>
      </c>
      <c r="M69">
        <v>8726.0059999999994</v>
      </c>
      <c r="N69">
        <v>98903.0610964152</v>
      </c>
      <c r="O69">
        <v>182445.64552738599</v>
      </c>
      <c r="P69">
        <v>423483.741932025</v>
      </c>
      <c r="Q69">
        <v>142135.03530822301</v>
      </c>
      <c r="S69">
        <v>8726.0059999999994</v>
      </c>
      <c r="T69">
        <v>24358.776745913499</v>
      </c>
      <c r="U69">
        <v>192545.108520949</v>
      </c>
      <c r="V69">
        <v>288817.66278142302</v>
      </c>
      <c r="X69">
        <v>8726.0059999999994</v>
      </c>
      <c r="Y69">
        <v>-110966.234494103</v>
      </c>
    </row>
    <row r="70" spans="7:25" x14ac:dyDescent="0.25">
      <c r="G70">
        <v>8727.0059999999994</v>
      </c>
      <c r="H70">
        <v>1.4810000000000001</v>
      </c>
      <c r="I70">
        <v>21.164499999999901</v>
      </c>
      <c r="J70">
        <v>77.489999999999895</v>
      </c>
      <c r="K70">
        <v>54.844499999999996</v>
      </c>
      <c r="M70">
        <v>8727.0059999999994</v>
      </c>
      <c r="N70">
        <v>98926.507096415196</v>
      </c>
      <c r="O70">
        <v>182466.55152738601</v>
      </c>
      <c r="P70">
        <v>423544.38093202497</v>
      </c>
      <c r="Q70">
        <v>142151.322308223</v>
      </c>
      <c r="S70">
        <v>8727.0059999999994</v>
      </c>
      <c r="T70">
        <v>24358.776745913499</v>
      </c>
      <c r="U70">
        <v>192545.108520949</v>
      </c>
      <c r="V70">
        <v>288817.66278142302</v>
      </c>
      <c r="X70">
        <v>8727.0059999999994</v>
      </c>
      <c r="Y70">
        <v>-110960.267494103</v>
      </c>
    </row>
    <row r="71" spans="7:25" x14ac:dyDescent="0.25">
      <c r="G71">
        <v>8728.0059999999994</v>
      </c>
      <c r="H71">
        <v>0.01</v>
      </c>
      <c r="I71">
        <v>34.500499999999903</v>
      </c>
      <c r="J71">
        <v>84.709999999999894</v>
      </c>
      <c r="K71">
        <v>50.1995</v>
      </c>
      <c r="M71">
        <v>8728.0059999999994</v>
      </c>
      <c r="N71">
        <v>98966.966096415199</v>
      </c>
      <c r="O71">
        <v>182487.457527386</v>
      </c>
      <c r="P71">
        <v>423622.03193202498</v>
      </c>
      <c r="Q71">
        <v>142167.60830822299</v>
      </c>
      <c r="S71">
        <v>8728.0059999999994</v>
      </c>
      <c r="T71">
        <v>24358.776745913499</v>
      </c>
      <c r="U71">
        <v>192545.108520949</v>
      </c>
      <c r="V71">
        <v>288817.66278142302</v>
      </c>
      <c r="X71">
        <v>8728.0059999999994</v>
      </c>
      <c r="Y71">
        <v>-110949.958494103</v>
      </c>
    </row>
    <row r="72" spans="7:25" x14ac:dyDescent="0.25">
      <c r="G72">
        <v>8729.0059999999994</v>
      </c>
      <c r="H72">
        <v>0</v>
      </c>
      <c r="I72">
        <v>58.9194999999999</v>
      </c>
      <c r="J72">
        <v>108.789999999999</v>
      </c>
      <c r="K72">
        <v>49.8705</v>
      </c>
      <c r="M72">
        <v>8729.0059999999994</v>
      </c>
      <c r="N72">
        <v>99039.578096415207</v>
      </c>
      <c r="O72">
        <v>182508.36352738601</v>
      </c>
      <c r="P72">
        <v>423731.83693202498</v>
      </c>
      <c r="Q72">
        <v>142183.895308223</v>
      </c>
      <c r="S72">
        <v>8729.0059999999994</v>
      </c>
      <c r="T72">
        <v>24358.776745913499</v>
      </c>
      <c r="U72">
        <v>192545.108520949</v>
      </c>
      <c r="V72">
        <v>288817.66278142302</v>
      </c>
      <c r="X72">
        <v>8729.0059999999994</v>
      </c>
      <c r="Y72">
        <v>-110931.415494103</v>
      </c>
    </row>
    <row r="73" spans="7:25" x14ac:dyDescent="0.25">
      <c r="G73">
        <v>8730.0059999999994</v>
      </c>
      <c r="H73">
        <v>0</v>
      </c>
      <c r="I73">
        <v>53.5994999999999</v>
      </c>
      <c r="J73">
        <v>105.819999999999</v>
      </c>
      <c r="K73">
        <v>52.220500000000001</v>
      </c>
      <c r="M73">
        <v>8730.0059999999994</v>
      </c>
      <c r="N73">
        <v>99104.193096415198</v>
      </c>
      <c r="O73">
        <v>182529.269527386</v>
      </c>
      <c r="P73">
        <v>423833.644932025</v>
      </c>
      <c r="Q73">
        <v>142200.18230822301</v>
      </c>
      <c r="S73">
        <v>8730.0059999999994</v>
      </c>
      <c r="T73">
        <v>24358.776745913499</v>
      </c>
      <c r="U73">
        <v>192545.108520949</v>
      </c>
      <c r="V73">
        <v>288817.66278142302</v>
      </c>
      <c r="X73">
        <v>8730.0059999999994</v>
      </c>
      <c r="Y73">
        <v>-110915.298494103</v>
      </c>
    </row>
    <row r="74" spans="7:25" x14ac:dyDescent="0.25">
      <c r="G74">
        <v>8731.0059999999994</v>
      </c>
      <c r="H74">
        <v>0</v>
      </c>
      <c r="I74">
        <v>38.647499999999901</v>
      </c>
      <c r="J74">
        <v>88.809999999999903</v>
      </c>
      <c r="K74">
        <v>50.162500000000001</v>
      </c>
      <c r="M74">
        <v>8731.0059999999994</v>
      </c>
      <c r="N74">
        <v>99150.178096415199</v>
      </c>
      <c r="O74">
        <v>182550.17552738599</v>
      </c>
      <c r="P74">
        <v>423916.82293202501</v>
      </c>
      <c r="Q74">
        <v>142216.46930822299</v>
      </c>
      <c r="S74">
        <v>8731.0059999999994</v>
      </c>
      <c r="T74">
        <v>24358.776745913499</v>
      </c>
      <c r="U74">
        <v>192545.108520949</v>
      </c>
      <c r="V74">
        <v>288817.66278142302</v>
      </c>
      <c r="X74">
        <v>8731.0059999999994</v>
      </c>
      <c r="Y74">
        <v>-110904.336494103</v>
      </c>
    </row>
    <row r="75" spans="7:25" x14ac:dyDescent="0.25">
      <c r="G75">
        <v>8732.0059999999994</v>
      </c>
      <c r="H75">
        <v>0</v>
      </c>
      <c r="I75">
        <v>41.701499999999903</v>
      </c>
      <c r="J75">
        <v>89.599999999999895</v>
      </c>
      <c r="K75">
        <v>47.898499999999999</v>
      </c>
      <c r="M75">
        <v>8732.0059999999994</v>
      </c>
      <c r="N75">
        <v>99199.7050964152</v>
      </c>
      <c r="O75">
        <v>182571.08152738601</v>
      </c>
      <c r="P75">
        <v>424003.54193202499</v>
      </c>
      <c r="Q75">
        <v>142232.756308223</v>
      </c>
      <c r="S75">
        <v>8732.0059999999994</v>
      </c>
      <c r="T75">
        <v>24358.776745913499</v>
      </c>
      <c r="U75">
        <v>192545.108520949</v>
      </c>
      <c r="V75">
        <v>288817.66278142302</v>
      </c>
      <c r="X75">
        <v>8732.0059999999994</v>
      </c>
      <c r="Y75">
        <v>-110894.632494103</v>
      </c>
    </row>
    <row r="76" spans="7:25" x14ac:dyDescent="0.25">
      <c r="G76">
        <v>8733.0059999999994</v>
      </c>
      <c r="H76">
        <v>0</v>
      </c>
      <c r="I76">
        <v>37.764499999999899</v>
      </c>
      <c r="J76">
        <v>83.809999999999903</v>
      </c>
      <c r="K76">
        <v>46.045499999999997</v>
      </c>
      <c r="M76">
        <v>8733.0059999999994</v>
      </c>
      <c r="N76">
        <v>99244.696096415195</v>
      </c>
      <c r="O76">
        <v>182591.98652738601</v>
      </c>
      <c r="P76">
        <v>424085.725932025</v>
      </c>
      <c r="Q76">
        <v>142249.042308223</v>
      </c>
      <c r="S76">
        <v>8733.0059999999994</v>
      </c>
      <c r="T76">
        <v>24358.776745913499</v>
      </c>
      <c r="U76">
        <v>192545.108520949</v>
      </c>
      <c r="V76">
        <v>288817.66278142302</v>
      </c>
      <c r="X76">
        <v>8733.0059999999994</v>
      </c>
      <c r="Y76">
        <v>-110885.748494103</v>
      </c>
    </row>
    <row r="77" spans="7:25" x14ac:dyDescent="0.25">
      <c r="G77">
        <v>8734.0059999999994</v>
      </c>
      <c r="H77">
        <v>0</v>
      </c>
      <c r="I77">
        <v>26.8704999999999</v>
      </c>
      <c r="J77">
        <v>71.009999999999906</v>
      </c>
      <c r="K77">
        <v>44.139499999999998</v>
      </c>
      <c r="M77">
        <v>8734.0059999999994</v>
      </c>
      <c r="N77">
        <v>99274.524096415204</v>
      </c>
      <c r="O77">
        <v>182612.89252738599</v>
      </c>
      <c r="P77">
        <v>424152.74693202501</v>
      </c>
      <c r="Q77">
        <v>142265.32930822301</v>
      </c>
      <c r="S77">
        <v>8734.0059999999994</v>
      </c>
      <c r="T77">
        <v>24358.776745913499</v>
      </c>
      <c r="U77">
        <v>192545.108520949</v>
      </c>
      <c r="V77">
        <v>288817.66278142302</v>
      </c>
      <c r="X77">
        <v>8734.0059999999994</v>
      </c>
      <c r="Y77">
        <v>-110880.20949410299</v>
      </c>
    </row>
    <row r="78" spans="7:25" x14ac:dyDescent="0.25">
      <c r="G78">
        <v>8735.0059999999994</v>
      </c>
      <c r="H78">
        <v>0</v>
      </c>
      <c r="I78">
        <v>16.531499999999902</v>
      </c>
      <c r="J78">
        <v>58.649999999999899</v>
      </c>
      <c r="K78">
        <v>42.118499999999997</v>
      </c>
      <c r="M78">
        <v>8735.0059999999994</v>
      </c>
      <c r="N78">
        <v>99292.406096415201</v>
      </c>
      <c r="O78">
        <v>182633.79852738601</v>
      </c>
      <c r="P78">
        <v>424207.82193202502</v>
      </c>
      <c r="Q78">
        <v>142281.61630822299</v>
      </c>
      <c r="S78">
        <v>8735.0059999999994</v>
      </c>
      <c r="T78">
        <v>24358.776745913499</v>
      </c>
      <c r="U78">
        <v>192545.108520949</v>
      </c>
      <c r="V78">
        <v>288817.66278142302</v>
      </c>
      <c r="X78">
        <v>8735.0059999999994</v>
      </c>
      <c r="Y78">
        <v>-110876.790494103</v>
      </c>
    </row>
    <row r="79" spans="7:25" x14ac:dyDescent="0.25">
      <c r="G79">
        <v>8736.0059999999994</v>
      </c>
      <c r="H79">
        <v>0</v>
      </c>
      <c r="I79">
        <v>4.9999999998817603E-4</v>
      </c>
      <c r="J79">
        <v>44.729999999999897</v>
      </c>
      <c r="K79">
        <v>44.733499999999999</v>
      </c>
      <c r="M79">
        <v>8736.0059999999994</v>
      </c>
      <c r="N79">
        <v>99292.406096415201</v>
      </c>
      <c r="O79">
        <v>182654.704527386</v>
      </c>
      <c r="P79">
        <v>424245.013932025</v>
      </c>
      <c r="Q79">
        <v>142297.903308223</v>
      </c>
      <c r="S79">
        <v>8736.0059999999994</v>
      </c>
      <c r="T79">
        <v>24358.7777459135</v>
      </c>
      <c r="U79">
        <v>192545.108520949</v>
      </c>
      <c r="V79">
        <v>288817.66278142302</v>
      </c>
      <c r="X79">
        <v>8736.0059999999994</v>
      </c>
      <c r="Y79">
        <v>-110876.791494103</v>
      </c>
    </row>
    <row r="80" spans="7:25" x14ac:dyDescent="0.25">
      <c r="G80">
        <v>8737.0059999999994</v>
      </c>
      <c r="H80">
        <v>0</v>
      </c>
      <c r="I80">
        <v>4.9999999998817603E-4</v>
      </c>
      <c r="J80">
        <v>36.5399999999999</v>
      </c>
      <c r="K80">
        <v>45.066499999999998</v>
      </c>
      <c r="M80">
        <v>8737.0059999999994</v>
      </c>
      <c r="N80">
        <v>99292.406096415201</v>
      </c>
      <c r="O80">
        <v>182675.61052738599</v>
      </c>
      <c r="P80">
        <v>424282.20693202497</v>
      </c>
      <c r="Q80">
        <v>142314.19030822301</v>
      </c>
      <c r="S80">
        <v>8737.0059999999994</v>
      </c>
      <c r="T80">
        <v>24360.606745913501</v>
      </c>
      <c r="U80">
        <v>192545.108520949</v>
      </c>
      <c r="V80">
        <v>288817.66278142302</v>
      </c>
      <c r="X80">
        <v>8737.0059999999994</v>
      </c>
      <c r="Y80">
        <v>-110878.363494103</v>
      </c>
    </row>
    <row r="81" spans="7:25" x14ac:dyDescent="0.25">
      <c r="G81">
        <v>8738.0059999999994</v>
      </c>
      <c r="H81">
        <v>0</v>
      </c>
      <c r="I81">
        <v>4.9999999998817603E-4</v>
      </c>
      <c r="J81">
        <v>33.5399999999999</v>
      </c>
      <c r="K81">
        <v>43.769500000000001</v>
      </c>
      <c r="M81">
        <v>8738.0059999999994</v>
      </c>
      <c r="N81">
        <v>99292.406096415201</v>
      </c>
      <c r="O81">
        <v>182696.516527386</v>
      </c>
      <c r="P81">
        <v>424319.399932025</v>
      </c>
      <c r="Q81">
        <v>142330.47730822299</v>
      </c>
      <c r="S81">
        <v>8738.0059999999994</v>
      </c>
      <c r="T81">
        <v>24362.7467459135</v>
      </c>
      <c r="U81">
        <v>192545.108520949</v>
      </c>
      <c r="V81">
        <v>288817.66278142302</v>
      </c>
      <c r="X81">
        <v>8738.0059999999994</v>
      </c>
      <c r="Y81">
        <v>-110880.26649410299</v>
      </c>
    </row>
    <row r="82" spans="7:25" x14ac:dyDescent="0.25">
      <c r="G82">
        <v>8739.0059999999994</v>
      </c>
      <c r="H82">
        <v>0</v>
      </c>
      <c r="I82">
        <v>4.9999999998817603E-4</v>
      </c>
      <c r="J82">
        <v>29.5199999999999</v>
      </c>
      <c r="K82">
        <v>43.8125</v>
      </c>
      <c r="M82">
        <v>8739.0059999999994</v>
      </c>
      <c r="N82">
        <v>99292.406096415201</v>
      </c>
      <c r="O82">
        <v>182717.42252738599</v>
      </c>
      <c r="P82">
        <v>424356.59193202498</v>
      </c>
      <c r="Q82">
        <v>142346.76330822299</v>
      </c>
      <c r="S82">
        <v>8739.0059999999994</v>
      </c>
      <c r="T82">
        <v>24365.736745913498</v>
      </c>
      <c r="U82">
        <v>192545.108520949</v>
      </c>
      <c r="V82">
        <v>288817.66278142302</v>
      </c>
      <c r="X82">
        <v>8739.0059999999994</v>
      </c>
      <c r="Y82">
        <v>-110882.915494103</v>
      </c>
    </row>
    <row r="83" spans="7:25" x14ac:dyDescent="0.25">
      <c r="G83">
        <v>8740.0059999999994</v>
      </c>
      <c r="H83">
        <v>0</v>
      </c>
      <c r="I83">
        <v>4.9999999998817603E-4</v>
      </c>
      <c r="J83">
        <v>28.959999999999901</v>
      </c>
      <c r="K83">
        <v>44.345500000000001</v>
      </c>
      <c r="M83">
        <v>8740.0059999999994</v>
      </c>
      <c r="N83">
        <v>99292.406096415201</v>
      </c>
      <c r="O83">
        <v>182738.32852738601</v>
      </c>
      <c r="P83">
        <v>424393.78493202501</v>
      </c>
      <c r="Q83">
        <v>142363.050308223</v>
      </c>
      <c r="S83">
        <v>8740.0059999999994</v>
      </c>
      <c r="T83">
        <v>24369.115745913499</v>
      </c>
      <c r="U83">
        <v>192545.108520949</v>
      </c>
      <c r="V83">
        <v>288817.66278142302</v>
      </c>
      <c r="X83">
        <v>8740.0059999999994</v>
      </c>
      <c r="Y83">
        <v>-110885.72049410301</v>
      </c>
    </row>
    <row r="84" spans="7:25" x14ac:dyDescent="0.25">
      <c r="G84">
        <v>8741.0059999999994</v>
      </c>
      <c r="H84">
        <v>0</v>
      </c>
      <c r="I84">
        <v>4.9999999998817603E-4</v>
      </c>
      <c r="J84">
        <v>30.899999999999899</v>
      </c>
      <c r="K84">
        <v>44.532499999999999</v>
      </c>
      <c r="M84">
        <v>8741.0059999999994</v>
      </c>
      <c r="N84">
        <v>99292.406096415201</v>
      </c>
      <c r="O84">
        <v>182759.234527386</v>
      </c>
      <c r="P84">
        <v>424430.97793202498</v>
      </c>
      <c r="Q84">
        <v>142379.33730822301</v>
      </c>
      <c r="S84">
        <v>8741.0059999999994</v>
      </c>
      <c r="T84">
        <v>24372.1527459135</v>
      </c>
      <c r="U84">
        <v>192545.108520949</v>
      </c>
      <c r="V84">
        <v>288817.66278142302</v>
      </c>
      <c r="X84">
        <v>8741.0059999999994</v>
      </c>
      <c r="Y84">
        <v>-110888.20949410299</v>
      </c>
    </row>
    <row r="85" spans="7:25" x14ac:dyDescent="0.25">
      <c r="G85">
        <v>8742.0059999999994</v>
      </c>
      <c r="H85">
        <v>0</v>
      </c>
      <c r="I85">
        <v>4.9999999998817603E-4</v>
      </c>
      <c r="J85">
        <v>36.909999999999897</v>
      </c>
      <c r="K85">
        <v>46.165500000000002</v>
      </c>
      <c r="M85">
        <v>8742.0059999999994</v>
      </c>
      <c r="N85">
        <v>99292.406096415201</v>
      </c>
      <c r="O85">
        <v>182780.139527386</v>
      </c>
      <c r="P85">
        <v>424468.16993202502</v>
      </c>
      <c r="Q85">
        <v>142395.62430822299</v>
      </c>
      <c r="S85">
        <v>8742.0059999999994</v>
      </c>
      <c r="T85">
        <v>24374.285745913501</v>
      </c>
      <c r="U85">
        <v>192545.108520949</v>
      </c>
      <c r="V85">
        <v>288817.66278142302</v>
      </c>
      <c r="X85">
        <v>8742.0059999999994</v>
      </c>
      <c r="Y85">
        <v>-110889.915494103</v>
      </c>
    </row>
    <row r="86" spans="7:25" x14ac:dyDescent="0.25">
      <c r="G86">
        <v>8743.0059999999994</v>
      </c>
      <c r="H86">
        <v>0</v>
      </c>
      <c r="I86">
        <v>4.9999999998817603E-4</v>
      </c>
      <c r="J86">
        <v>45.229999999999897</v>
      </c>
      <c r="K86">
        <v>47.503500000000003</v>
      </c>
      <c r="M86">
        <v>8743.0059999999994</v>
      </c>
      <c r="N86">
        <v>99292.406096415201</v>
      </c>
      <c r="O86">
        <v>182801.04552738601</v>
      </c>
      <c r="P86">
        <v>424505.36293202499</v>
      </c>
      <c r="Q86">
        <v>142411.911308223</v>
      </c>
      <c r="S86">
        <v>8743.0059999999994</v>
      </c>
      <c r="T86">
        <v>24374.827745913499</v>
      </c>
      <c r="U86">
        <v>192545.108520949</v>
      </c>
      <c r="V86">
        <v>288817.66278142302</v>
      </c>
      <c r="X86">
        <v>8743.0059999999994</v>
      </c>
      <c r="Y86">
        <v>-110890.348494103</v>
      </c>
    </row>
    <row r="87" spans="7:25" x14ac:dyDescent="0.25">
      <c r="G87">
        <v>8744.0059999999994</v>
      </c>
      <c r="H87">
        <v>0</v>
      </c>
      <c r="I87">
        <v>7.9994999999999896</v>
      </c>
      <c r="J87">
        <v>56.329999999999899</v>
      </c>
      <c r="K87">
        <v>48.330500000000001</v>
      </c>
      <c r="M87">
        <v>8744.0059999999994</v>
      </c>
      <c r="N87">
        <v>99302.235096415199</v>
      </c>
      <c r="O87">
        <v>182821.951527386</v>
      </c>
      <c r="P87">
        <v>424552.38493202499</v>
      </c>
      <c r="Q87">
        <v>142428.197308223</v>
      </c>
      <c r="S87">
        <v>8744.0059999999994</v>
      </c>
      <c r="T87">
        <v>24374.827745913499</v>
      </c>
      <c r="U87">
        <v>192545.108520949</v>
      </c>
      <c r="V87">
        <v>288817.66278142302</v>
      </c>
      <c r="X87">
        <v>8744.0059999999994</v>
      </c>
      <c r="Y87">
        <v>-110888.582494103</v>
      </c>
    </row>
    <row r="88" spans="7:25" x14ac:dyDescent="0.25">
      <c r="G88">
        <v>8745.0059999999994</v>
      </c>
      <c r="H88">
        <v>0</v>
      </c>
      <c r="I88">
        <v>9.5424999999999898</v>
      </c>
      <c r="J88">
        <v>59.309999999999903</v>
      </c>
      <c r="K88">
        <v>49.767499999999998</v>
      </c>
      <c r="M88">
        <v>8745.0059999999994</v>
      </c>
      <c r="N88">
        <v>99313.981096415198</v>
      </c>
      <c r="O88">
        <v>182842.85752738599</v>
      </c>
      <c r="P88">
        <v>424601.32293202501</v>
      </c>
      <c r="Q88">
        <v>142444.48430822301</v>
      </c>
      <c r="S88">
        <v>8745.0059999999994</v>
      </c>
      <c r="T88">
        <v>24374.827745913499</v>
      </c>
      <c r="U88">
        <v>192545.108520949</v>
      </c>
      <c r="V88">
        <v>288817.66278142302</v>
      </c>
      <c r="X88">
        <v>8745.0059999999994</v>
      </c>
      <c r="Y88">
        <v>-110886.43649410301</v>
      </c>
    </row>
    <row r="89" spans="7:25" x14ac:dyDescent="0.25">
      <c r="G89">
        <v>8746.0059999999994</v>
      </c>
      <c r="H89">
        <v>0</v>
      </c>
      <c r="I89">
        <v>8.4434999999999807</v>
      </c>
      <c r="J89">
        <v>58.819999999999901</v>
      </c>
      <c r="K89">
        <v>50.3765</v>
      </c>
      <c r="M89">
        <v>8746.0059999999994</v>
      </c>
      <c r="N89">
        <v>99324.449096415206</v>
      </c>
      <c r="O89">
        <v>182863.76352738601</v>
      </c>
      <c r="P89">
        <v>424648.98393202497</v>
      </c>
      <c r="Q89">
        <v>142460.77130822299</v>
      </c>
      <c r="S89">
        <v>8746.0059999999994</v>
      </c>
      <c r="T89">
        <v>24374.827745913499</v>
      </c>
      <c r="U89">
        <v>192545.108520949</v>
      </c>
      <c r="V89">
        <v>288817.66278142302</v>
      </c>
      <c r="X89">
        <v>8746.0059999999994</v>
      </c>
      <c r="Y89">
        <v>-110884.573494103</v>
      </c>
    </row>
    <row r="90" spans="7:25" x14ac:dyDescent="0.25">
      <c r="G90">
        <v>8747.0059999999994</v>
      </c>
      <c r="H90">
        <v>0</v>
      </c>
      <c r="I90">
        <v>13.3814999999999</v>
      </c>
      <c r="J90">
        <v>63.279999999999902</v>
      </c>
      <c r="K90">
        <v>49.898499999999999</v>
      </c>
      <c r="M90">
        <v>8747.0059999999994</v>
      </c>
      <c r="N90">
        <v>99340.930096415206</v>
      </c>
      <c r="O90">
        <v>182884.669527386</v>
      </c>
      <c r="P90">
        <v>424702.65793202497</v>
      </c>
      <c r="Q90">
        <v>142477.058308223</v>
      </c>
      <c r="S90">
        <v>8747.0059999999994</v>
      </c>
      <c r="T90">
        <v>24374.827745913499</v>
      </c>
      <c r="U90">
        <v>192545.108520949</v>
      </c>
      <c r="V90">
        <v>288817.66278142302</v>
      </c>
      <c r="X90">
        <v>8747.0059999999994</v>
      </c>
      <c r="Y90">
        <v>-110881.611494103</v>
      </c>
    </row>
    <row r="91" spans="7:25" x14ac:dyDescent="0.25">
      <c r="G91">
        <v>8748.0059999999994</v>
      </c>
      <c r="H91">
        <v>30.181999999999999</v>
      </c>
      <c r="I91">
        <v>-8.4505000000000106</v>
      </c>
      <c r="J91">
        <v>68.259999999999906</v>
      </c>
      <c r="K91">
        <v>51.831499999999998</v>
      </c>
      <c r="M91">
        <v>8748.0059999999994</v>
      </c>
      <c r="N91">
        <v>99338.869096415205</v>
      </c>
      <c r="O91">
        <v>182905.57552738601</v>
      </c>
      <c r="P91">
        <v>424737.78893202503</v>
      </c>
      <c r="Q91">
        <v>142493.34530822301</v>
      </c>
      <c r="S91">
        <v>8748.0059999999994</v>
      </c>
      <c r="T91">
        <v>24377.552745913501</v>
      </c>
      <c r="U91">
        <v>192547.16952094901</v>
      </c>
      <c r="V91">
        <v>288820.75478142302</v>
      </c>
      <c r="X91">
        <v>8748.0059999999994</v>
      </c>
      <c r="Y91">
        <v>-110885.901494103</v>
      </c>
    </row>
    <row r="92" spans="7:25" x14ac:dyDescent="0.25">
      <c r="G92">
        <v>8749.0059999999994</v>
      </c>
      <c r="H92">
        <v>15.323</v>
      </c>
      <c r="I92">
        <v>-1.1895</v>
      </c>
      <c r="J92">
        <v>67.969999999999899</v>
      </c>
      <c r="K92">
        <v>53.3645</v>
      </c>
      <c r="M92">
        <v>8749.0059999999994</v>
      </c>
      <c r="N92">
        <v>99338.5800964152</v>
      </c>
      <c r="O92">
        <v>182926.481527386</v>
      </c>
      <c r="P92">
        <v>424774.69293202501</v>
      </c>
      <c r="Q92">
        <v>142509.63230822299</v>
      </c>
      <c r="S92">
        <v>8749.0059999999994</v>
      </c>
      <c r="T92">
        <v>24377.647745913499</v>
      </c>
      <c r="U92">
        <v>192547.458520949</v>
      </c>
      <c r="V92">
        <v>288821.18778142298</v>
      </c>
      <c r="X92">
        <v>8749.0059999999994</v>
      </c>
      <c r="Y92">
        <v>-110886.236494103</v>
      </c>
    </row>
    <row r="93" spans="7:25" x14ac:dyDescent="0.25">
      <c r="G93">
        <v>8750.0059999999994</v>
      </c>
      <c r="H93">
        <v>22.718</v>
      </c>
      <c r="I93">
        <v>-2.8395000000000001</v>
      </c>
      <c r="J93">
        <v>70.449999999999903</v>
      </c>
      <c r="K93">
        <v>54.590499999999999</v>
      </c>
      <c r="M93">
        <v>8750.0059999999994</v>
      </c>
      <c r="N93">
        <v>99337.892096415206</v>
      </c>
      <c r="O93">
        <v>182947.38752738599</v>
      </c>
      <c r="P93">
        <v>424811.19793202501</v>
      </c>
      <c r="Q93">
        <v>142525.91830822299</v>
      </c>
      <c r="S93">
        <v>8750.0059999999994</v>
      </c>
      <c r="T93">
        <v>24379.157745913501</v>
      </c>
      <c r="U93">
        <v>192548.146520949</v>
      </c>
      <c r="V93">
        <v>288822.21978142398</v>
      </c>
      <c r="X93">
        <v>8750.0059999999994</v>
      </c>
      <c r="Y93">
        <v>-110888.149494103</v>
      </c>
    </row>
    <row r="94" spans="7:25" x14ac:dyDescent="0.25">
      <c r="G94">
        <v>8751.0059999999994</v>
      </c>
      <c r="H94">
        <v>20.594999999999999</v>
      </c>
      <c r="I94">
        <v>-1.96950000000001</v>
      </c>
      <c r="J94">
        <v>74.649999999999906</v>
      </c>
      <c r="K94">
        <v>56.395499999999998</v>
      </c>
      <c r="M94">
        <v>8751.0059999999994</v>
      </c>
      <c r="N94">
        <v>99337.409096415198</v>
      </c>
      <c r="O94">
        <v>182968.29252738599</v>
      </c>
      <c r="P94">
        <v>424847.90693202498</v>
      </c>
      <c r="Q94">
        <v>142542.205308223</v>
      </c>
      <c r="S94">
        <v>8751.0059999999994</v>
      </c>
      <c r="T94">
        <v>24379.6027459135</v>
      </c>
      <c r="U94">
        <v>192548.62952094901</v>
      </c>
      <c r="V94">
        <v>288822.94478142302</v>
      </c>
      <c r="X94">
        <v>8751.0059999999994</v>
      </c>
      <c r="Y94">
        <v>-110888.889494103</v>
      </c>
    </row>
    <row r="95" spans="7:25" x14ac:dyDescent="0.25">
      <c r="G95">
        <v>8752.0059999999994</v>
      </c>
      <c r="H95">
        <v>20.594999999999999</v>
      </c>
      <c r="I95">
        <v>8.3954999999999895</v>
      </c>
      <c r="J95">
        <v>88.969999999999899</v>
      </c>
      <c r="K95">
        <v>59.093499999999999</v>
      </c>
      <c r="M95">
        <v>8752.0059999999994</v>
      </c>
      <c r="N95">
        <v>99349.131096415207</v>
      </c>
      <c r="O95">
        <v>182989.198527386</v>
      </c>
      <c r="P95">
        <v>424896.82293202501</v>
      </c>
      <c r="Q95">
        <v>142558.49230822301</v>
      </c>
      <c r="S95">
        <v>8752.0059999999994</v>
      </c>
      <c r="T95">
        <v>24379.6027459135</v>
      </c>
      <c r="U95">
        <v>192548.94052094899</v>
      </c>
      <c r="V95">
        <v>288823.41078142298</v>
      </c>
      <c r="X95">
        <v>8752.0059999999994</v>
      </c>
      <c r="Y95">
        <v>-110887.24749410299</v>
      </c>
    </row>
    <row r="96" spans="7:25" x14ac:dyDescent="0.25">
      <c r="G96">
        <v>8753.0059999999994</v>
      </c>
      <c r="H96">
        <v>20.594999999999999</v>
      </c>
      <c r="I96">
        <v>26.696499999999901</v>
      </c>
      <c r="J96">
        <v>109.569999999999</v>
      </c>
      <c r="K96">
        <v>60.823500000000003</v>
      </c>
      <c r="M96">
        <v>8753.0059999999994</v>
      </c>
      <c r="N96">
        <v>99384.275096415193</v>
      </c>
      <c r="O96">
        <v>183010.10452738599</v>
      </c>
      <c r="P96">
        <v>424969.15893202502</v>
      </c>
      <c r="Q96">
        <v>142574.77930822299</v>
      </c>
      <c r="S96">
        <v>8753.0059999999994</v>
      </c>
      <c r="T96">
        <v>24379.6027459135</v>
      </c>
      <c r="U96">
        <v>192549.38652094899</v>
      </c>
      <c r="V96">
        <v>288824.08078142302</v>
      </c>
      <c r="X96">
        <v>8753.0059999999994</v>
      </c>
      <c r="Y96">
        <v>-110881.89049410301</v>
      </c>
    </row>
    <row r="97" spans="7:25" x14ac:dyDescent="0.25">
      <c r="G97">
        <v>8754.0059999999994</v>
      </c>
      <c r="H97">
        <v>20.594999999999999</v>
      </c>
      <c r="I97">
        <v>25.814499999999899</v>
      </c>
      <c r="J97">
        <v>108.229999999999</v>
      </c>
      <c r="K97">
        <v>60.577500000000001</v>
      </c>
      <c r="M97">
        <v>8754.0059999999994</v>
      </c>
      <c r="N97">
        <v>99417.581096415204</v>
      </c>
      <c r="O97">
        <v>183031.01052738601</v>
      </c>
      <c r="P97">
        <v>425039.65793202497</v>
      </c>
      <c r="Q97">
        <v>142591.066308223</v>
      </c>
      <c r="S97">
        <v>8754.0059999999994</v>
      </c>
      <c r="T97">
        <v>24379.6027459135</v>
      </c>
      <c r="U97">
        <v>192549.78952094901</v>
      </c>
      <c r="V97">
        <v>288824.68378142302</v>
      </c>
      <c r="X97">
        <v>8754.0059999999994</v>
      </c>
      <c r="Y97">
        <v>-110876.901494103</v>
      </c>
    </row>
    <row r="98" spans="7:25" x14ac:dyDescent="0.25">
      <c r="G98">
        <v>8755.0059999999994</v>
      </c>
      <c r="H98">
        <v>20.594999999999999</v>
      </c>
      <c r="I98">
        <v>4.5034999999999803</v>
      </c>
      <c r="J98">
        <v>85.619999999999905</v>
      </c>
      <c r="K98">
        <v>59.854500000000002</v>
      </c>
      <c r="M98">
        <v>8755.0059999999994</v>
      </c>
      <c r="N98">
        <v>99423.8260964152</v>
      </c>
      <c r="O98">
        <v>183051.916527386</v>
      </c>
      <c r="P98">
        <v>425083.09493202501</v>
      </c>
      <c r="Q98">
        <v>142607.35230822299</v>
      </c>
      <c r="S98">
        <v>8755.0059999999994</v>
      </c>
      <c r="T98">
        <v>24379.6027459135</v>
      </c>
      <c r="U98">
        <v>192550.002520949</v>
      </c>
      <c r="V98">
        <v>288825.00478142302</v>
      </c>
      <c r="X98">
        <v>8755.0059999999994</v>
      </c>
      <c r="Y98">
        <v>-110876.124494103</v>
      </c>
    </row>
    <row r="99" spans="7:25" x14ac:dyDescent="0.25">
      <c r="G99">
        <v>8756.0059999999994</v>
      </c>
      <c r="H99">
        <v>20.594999999999999</v>
      </c>
      <c r="I99">
        <v>11.0794999999999</v>
      </c>
      <c r="J99">
        <v>91.329999999999899</v>
      </c>
      <c r="K99">
        <v>58.903500000000001</v>
      </c>
      <c r="M99">
        <v>8756.0059999999994</v>
      </c>
      <c r="N99">
        <v>99437.812096415204</v>
      </c>
      <c r="O99">
        <v>183072.82252738599</v>
      </c>
      <c r="P99">
        <v>425134.27393202501</v>
      </c>
      <c r="Q99">
        <v>142623.63930822301</v>
      </c>
      <c r="S99">
        <v>8756.0059999999994</v>
      </c>
      <c r="T99">
        <v>24379.6027459135</v>
      </c>
      <c r="U99">
        <v>192550.26152094899</v>
      </c>
      <c r="V99">
        <v>288825.39278142399</v>
      </c>
      <c r="X99">
        <v>8756.0059999999994</v>
      </c>
      <c r="Y99">
        <v>-110874.26649410299</v>
      </c>
    </row>
    <row r="100" spans="7:25" x14ac:dyDescent="0.25">
      <c r="G100">
        <v>8757.0059999999994</v>
      </c>
      <c r="H100">
        <v>13.555999999999999</v>
      </c>
      <c r="I100">
        <v>0.48749999999999</v>
      </c>
      <c r="J100">
        <v>74.939999999999898</v>
      </c>
      <c r="K100">
        <v>60.298499999999997</v>
      </c>
      <c r="M100">
        <v>8757.0059999999994</v>
      </c>
      <c r="N100">
        <v>99439.044096415193</v>
      </c>
      <c r="O100">
        <v>183093.728527386</v>
      </c>
      <c r="P100">
        <v>425172.698932025</v>
      </c>
      <c r="Q100">
        <v>142639.92630822299</v>
      </c>
      <c r="S100">
        <v>8757.0059999999994</v>
      </c>
      <c r="T100">
        <v>24379.6027459135</v>
      </c>
      <c r="U100">
        <v>192550.42952094899</v>
      </c>
      <c r="V100">
        <v>288825.64378142398</v>
      </c>
      <c r="X100">
        <v>8757.0059999999994</v>
      </c>
      <c r="Y100">
        <v>-110874.187494103</v>
      </c>
    </row>
    <row r="101" spans="7:25" x14ac:dyDescent="0.25">
      <c r="G101">
        <v>8758.0059999999994</v>
      </c>
      <c r="H101">
        <v>0</v>
      </c>
      <c r="I101">
        <v>8.7904999999999802</v>
      </c>
      <c r="J101">
        <v>68.499999999999901</v>
      </c>
      <c r="K101">
        <v>59.709499999999998</v>
      </c>
      <c r="M101">
        <v>8758.0059999999994</v>
      </c>
      <c r="N101">
        <v>99448.880096415203</v>
      </c>
      <c r="O101">
        <v>183114.63452738599</v>
      </c>
      <c r="P101">
        <v>425219.72793202498</v>
      </c>
      <c r="Q101">
        <v>142656.213308223</v>
      </c>
      <c r="S101">
        <v>8758.0059999999994</v>
      </c>
      <c r="T101">
        <v>24379.6027459135</v>
      </c>
      <c r="U101">
        <v>192550.42952094899</v>
      </c>
      <c r="V101">
        <v>288825.64378142398</v>
      </c>
      <c r="X101">
        <v>8758.0059999999994</v>
      </c>
      <c r="Y101">
        <v>-110872.759494103</v>
      </c>
    </row>
    <row r="102" spans="7:25" x14ac:dyDescent="0.25">
      <c r="G102">
        <v>8759.0059999999994</v>
      </c>
      <c r="H102">
        <v>0</v>
      </c>
      <c r="I102">
        <v>0.552499999999987</v>
      </c>
      <c r="J102">
        <v>59.779999999999902</v>
      </c>
      <c r="K102">
        <v>59.200499999999998</v>
      </c>
      <c r="M102">
        <v>8759.0059999999994</v>
      </c>
      <c r="N102">
        <v>99449.467096415203</v>
      </c>
      <c r="O102">
        <v>183135.53952738599</v>
      </c>
      <c r="P102">
        <v>425257.50693202502</v>
      </c>
      <c r="Q102">
        <v>142672.50030822301</v>
      </c>
      <c r="S102">
        <v>8759.0059999999994</v>
      </c>
      <c r="T102">
        <v>24379.6027459135</v>
      </c>
      <c r="U102">
        <v>192550.434520949</v>
      </c>
      <c r="V102">
        <v>288825.65178142302</v>
      </c>
      <c r="X102">
        <v>8759.0059999999994</v>
      </c>
      <c r="Y102">
        <v>-110872.670494103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F921-7046-4AF3-810C-E7EA94CFD770}">
  <dimension ref="A1:Z102"/>
  <sheetViews>
    <sheetView workbookViewId="0">
      <selection activeCell="A3" sqref="A3"/>
    </sheetView>
  </sheetViews>
  <sheetFormatPr defaultRowHeight="15" x14ac:dyDescent="0.25"/>
  <cols>
    <col min="10" max="10" width="19.42578125" customWidth="1"/>
    <col min="11" max="11" width="33.5703125" customWidth="1"/>
    <col min="14" max="14" width="12.85546875" customWidth="1"/>
    <col min="15" max="15" width="36.5703125" customWidth="1"/>
    <col min="16" max="16" width="21.85546875" customWidth="1"/>
  </cols>
  <sheetData>
    <row r="1" spans="1:26" x14ac:dyDescent="0.25">
      <c r="A1" t="s">
        <v>264</v>
      </c>
      <c r="E1" t="s">
        <v>264</v>
      </c>
    </row>
    <row r="2" spans="1:26" x14ac:dyDescent="0.25">
      <c r="A2" t="s">
        <v>265</v>
      </c>
      <c r="G2" t="s">
        <v>266</v>
      </c>
      <c r="J2" t="s">
        <v>267</v>
      </c>
      <c r="K2" t="s">
        <v>58</v>
      </c>
      <c r="L2" t="s">
        <v>59</v>
      </c>
      <c r="O2" t="s">
        <v>39</v>
      </c>
      <c r="P2" t="s">
        <v>40</v>
      </c>
      <c r="Q2" t="s">
        <v>41</v>
      </c>
      <c r="T2" t="s">
        <v>64</v>
      </c>
      <c r="W2" t="s">
        <v>42</v>
      </c>
      <c r="Y2" s="21"/>
      <c r="Z2" s="9" t="s">
        <v>268</v>
      </c>
    </row>
    <row r="3" spans="1:26" x14ac:dyDescent="0.25">
      <c r="A3">
        <v>676.221</v>
      </c>
      <c r="F3">
        <v>8661</v>
      </c>
      <c r="G3">
        <v>674.38037189565398</v>
      </c>
      <c r="I3">
        <v>8660.0040000000008</v>
      </c>
      <c r="J3">
        <v>0</v>
      </c>
      <c r="K3">
        <v>82.809999999999903</v>
      </c>
      <c r="L3">
        <v>82.809999999999903</v>
      </c>
      <c r="N3">
        <v>8660.0040000000008</v>
      </c>
      <c r="O3">
        <v>711119.24281634204</v>
      </c>
      <c r="P3">
        <v>41879.177931504797</v>
      </c>
      <c r="Q3">
        <v>752998.42074784695</v>
      </c>
      <c r="S3">
        <v>8660.0040000000008</v>
      </c>
      <c r="T3">
        <v>48055.9996978977</v>
      </c>
      <c r="V3">
        <v>8660.0040000000008</v>
      </c>
      <c r="W3">
        <v>116922.77636493101</v>
      </c>
      <c r="Y3">
        <v>8660.0040000000008</v>
      </c>
      <c r="Z3">
        <v>24.627152828368899</v>
      </c>
    </row>
    <row r="4" spans="1:26" x14ac:dyDescent="0.25">
      <c r="A4" t="s">
        <v>269</v>
      </c>
      <c r="F4">
        <v>8662</v>
      </c>
      <c r="G4">
        <v>674.38037189565398</v>
      </c>
      <c r="I4">
        <v>8661.0040000000008</v>
      </c>
      <c r="J4">
        <v>0</v>
      </c>
      <c r="K4">
        <v>80.069999999999894</v>
      </c>
      <c r="L4">
        <v>80.069999999999894</v>
      </c>
      <c r="N4">
        <v>8661.0040000000008</v>
      </c>
      <c r="O4">
        <v>711195.22181634197</v>
      </c>
      <c r="P4">
        <v>41884.012931504803</v>
      </c>
      <c r="Q4">
        <v>753079.23574784701</v>
      </c>
      <c r="S4">
        <v>8661.0040000000008</v>
      </c>
      <c r="T4">
        <v>48055.9996978977</v>
      </c>
      <c r="V4">
        <v>8661.0040000000008</v>
      </c>
      <c r="W4">
        <v>116943.207364931</v>
      </c>
      <c r="Y4">
        <v>8661.0040000000008</v>
      </c>
      <c r="Z4">
        <v>20.431152828368901</v>
      </c>
    </row>
    <row r="5" spans="1:26" x14ac:dyDescent="0.25">
      <c r="A5" s="1">
        <v>5978.9759999999997</v>
      </c>
      <c r="F5">
        <v>8663</v>
      </c>
      <c r="G5">
        <v>674.38037189565398</v>
      </c>
      <c r="I5">
        <v>8662.0040000000008</v>
      </c>
      <c r="J5">
        <v>0</v>
      </c>
      <c r="K5">
        <v>65.279999999999902</v>
      </c>
      <c r="L5">
        <v>65.279999999999902</v>
      </c>
      <c r="N5">
        <v>8662.0040000000008</v>
      </c>
      <c r="O5">
        <v>711250.39781634195</v>
      </c>
      <c r="P5">
        <v>41888.848931504799</v>
      </c>
      <c r="Q5">
        <v>753139.24674784695</v>
      </c>
      <c r="S5">
        <v>8662.0040000000008</v>
      </c>
      <c r="T5">
        <v>48055.9996978977</v>
      </c>
      <c r="V5">
        <v>8662.0040000000008</v>
      </c>
      <c r="W5">
        <v>116958.570364931</v>
      </c>
      <c r="Y5">
        <v>8662.0040000000008</v>
      </c>
      <c r="Z5">
        <v>15.3631528283689</v>
      </c>
    </row>
    <row r="6" spans="1:26" x14ac:dyDescent="0.25">
      <c r="A6" t="s">
        <v>270</v>
      </c>
      <c r="F6">
        <v>8664</v>
      </c>
      <c r="G6">
        <v>674.38037189565398</v>
      </c>
      <c r="I6">
        <v>8663.0040000000008</v>
      </c>
      <c r="J6">
        <v>0</v>
      </c>
      <c r="K6">
        <v>55.959999999999901</v>
      </c>
      <c r="L6">
        <v>55.959999999999901</v>
      </c>
      <c r="N6">
        <v>8663.0040000000008</v>
      </c>
      <c r="O6">
        <v>711294.523816342</v>
      </c>
      <c r="P6">
        <v>41893.683931504798</v>
      </c>
      <c r="Q6">
        <v>753188.20774784696</v>
      </c>
      <c r="S6">
        <v>8663.0040000000008</v>
      </c>
      <c r="T6">
        <v>48055.9996978977</v>
      </c>
      <c r="V6">
        <v>8663.0040000000008</v>
      </c>
      <c r="W6">
        <v>116967.868364931</v>
      </c>
      <c r="Y6">
        <v>8663.0040000000008</v>
      </c>
      <c r="Z6">
        <v>9.2981528283689805</v>
      </c>
    </row>
    <row r="7" spans="1:26" x14ac:dyDescent="0.25">
      <c r="A7" s="1">
        <v>2906.913</v>
      </c>
      <c r="F7">
        <v>8665</v>
      </c>
      <c r="G7">
        <v>674.38037189565398</v>
      </c>
      <c r="I7">
        <v>8664.0040000000008</v>
      </c>
      <c r="J7">
        <v>0</v>
      </c>
      <c r="K7">
        <v>50.299999999999898</v>
      </c>
      <c r="L7">
        <v>50.299999999999898</v>
      </c>
      <c r="N7">
        <v>8664.0040000000008</v>
      </c>
      <c r="O7">
        <v>711334.29881634202</v>
      </c>
      <c r="P7">
        <v>41898.518931504797</v>
      </c>
      <c r="Q7">
        <v>753232.81874784699</v>
      </c>
      <c r="S7">
        <v>8664.0040000000008</v>
      </c>
      <c r="T7">
        <v>48055.9996978977</v>
      </c>
      <c r="V7">
        <v>8664.0040000000008</v>
      </c>
      <c r="W7">
        <v>116975.74936493101</v>
      </c>
      <c r="Y7">
        <v>8664.0040000000008</v>
      </c>
      <c r="Z7">
        <v>7.8811528283689798</v>
      </c>
    </row>
    <row r="8" spans="1:26" x14ac:dyDescent="0.25">
      <c r="F8">
        <v>8666</v>
      </c>
      <c r="G8">
        <v>674.38037189565398</v>
      </c>
      <c r="I8">
        <v>8665.0040000000008</v>
      </c>
      <c r="J8">
        <v>0</v>
      </c>
      <c r="K8">
        <v>36.999999999999901</v>
      </c>
      <c r="L8">
        <v>36.999999999999901</v>
      </c>
      <c r="N8">
        <v>8665.0040000000008</v>
      </c>
      <c r="O8">
        <v>711358.17481634195</v>
      </c>
      <c r="P8">
        <v>41903.3549315048</v>
      </c>
      <c r="Q8">
        <v>753261.529747847</v>
      </c>
      <c r="S8">
        <v>8665.0040000000008</v>
      </c>
      <c r="T8">
        <v>48055.9996978977</v>
      </c>
      <c r="V8">
        <v>8665.0040000000008</v>
      </c>
      <c r="W8">
        <v>116980.940364931</v>
      </c>
      <c r="Y8">
        <v>8665.0040000000008</v>
      </c>
      <c r="Z8">
        <v>5.1911528283689803</v>
      </c>
    </row>
    <row r="9" spans="1:26" x14ac:dyDescent="0.25">
      <c r="F9">
        <v>8667</v>
      </c>
      <c r="G9">
        <v>674.38037189565398</v>
      </c>
      <c r="I9">
        <v>8666.0040000000008</v>
      </c>
      <c r="J9">
        <v>0</v>
      </c>
      <c r="K9">
        <v>32.1099999999999</v>
      </c>
      <c r="L9">
        <v>32.1099999999999</v>
      </c>
      <c r="N9">
        <v>8666.0040000000008</v>
      </c>
      <c r="O9">
        <v>711375.63681634201</v>
      </c>
      <c r="P9">
        <v>41908.189931504799</v>
      </c>
      <c r="Q9">
        <v>753283.82774784695</v>
      </c>
      <c r="S9">
        <v>8666.0040000000008</v>
      </c>
      <c r="T9">
        <v>48055.9996978977</v>
      </c>
      <c r="V9">
        <v>8666.0040000000008</v>
      </c>
      <c r="W9">
        <v>116984.679364931</v>
      </c>
      <c r="Y9">
        <v>8666.0040000000008</v>
      </c>
      <c r="Z9">
        <v>3.73815282836898</v>
      </c>
    </row>
    <row r="10" spans="1:26" x14ac:dyDescent="0.25">
      <c r="F10">
        <v>8668</v>
      </c>
      <c r="G10">
        <v>674.38037189565398</v>
      </c>
      <c r="I10">
        <v>8667.0040000000008</v>
      </c>
      <c r="J10">
        <v>0</v>
      </c>
      <c r="K10">
        <v>29.719999999999899</v>
      </c>
      <c r="L10">
        <v>29.719999999999899</v>
      </c>
      <c r="N10">
        <v>8667.0040000000008</v>
      </c>
      <c r="O10">
        <v>711389.58281634201</v>
      </c>
      <c r="P10">
        <v>41913.025931504802</v>
      </c>
      <c r="Q10">
        <v>753302.60874784703</v>
      </c>
      <c r="S10">
        <v>8667.0040000000008</v>
      </c>
      <c r="T10">
        <v>48055.9996978977</v>
      </c>
      <c r="V10">
        <v>8667.0040000000008</v>
      </c>
      <c r="W10">
        <v>116987.763364931</v>
      </c>
      <c r="Y10">
        <v>8667.0040000000008</v>
      </c>
      <c r="Z10">
        <v>3.08515282836898</v>
      </c>
    </row>
    <row r="11" spans="1:26" x14ac:dyDescent="0.25">
      <c r="A11" t="s">
        <v>271</v>
      </c>
      <c r="F11">
        <v>8669</v>
      </c>
      <c r="G11">
        <v>674.38037189565398</v>
      </c>
      <c r="I11">
        <v>8668.0040000000008</v>
      </c>
      <c r="J11">
        <v>0</v>
      </c>
      <c r="K11">
        <v>28.8799999999999</v>
      </c>
      <c r="L11">
        <v>28.8799999999999</v>
      </c>
      <c r="N11">
        <v>8668.0040000000008</v>
      </c>
      <c r="O11">
        <v>711397.03681634204</v>
      </c>
      <c r="P11">
        <v>41917.860931504802</v>
      </c>
      <c r="Q11">
        <v>753314.89774784702</v>
      </c>
      <c r="S11">
        <v>8668.0040000000008</v>
      </c>
      <c r="T11">
        <v>48055.9996978977</v>
      </c>
      <c r="V11">
        <v>8668.0040000000008</v>
      </c>
      <c r="W11">
        <v>116990.77636493101</v>
      </c>
      <c r="Y11">
        <v>8668.0040000000008</v>
      </c>
      <c r="Z11">
        <v>3.01215282836898</v>
      </c>
    </row>
    <row r="12" spans="1:26" x14ac:dyDescent="0.25">
      <c r="A12">
        <f>A3/8760 *100</f>
        <v>7.7194178082191787</v>
      </c>
      <c r="F12">
        <v>8670</v>
      </c>
      <c r="G12">
        <v>674.38037189565398</v>
      </c>
      <c r="I12">
        <v>8669.0040000000008</v>
      </c>
      <c r="J12">
        <v>0</v>
      </c>
      <c r="K12">
        <v>29.119999999999902</v>
      </c>
      <c r="L12">
        <v>29.119999999999902</v>
      </c>
      <c r="N12">
        <v>8669.0040000000008</v>
      </c>
      <c r="O12">
        <v>711397.27581634198</v>
      </c>
      <c r="P12">
        <v>41922.695931504801</v>
      </c>
      <c r="Q12">
        <v>753319.97274784697</v>
      </c>
      <c r="S12">
        <v>8669.0040000000008</v>
      </c>
      <c r="T12">
        <v>48055.9996978977</v>
      </c>
      <c r="V12">
        <v>8669.0040000000008</v>
      </c>
      <c r="W12">
        <v>116993.75736493101</v>
      </c>
      <c r="Y12">
        <v>8669.0040000000008</v>
      </c>
      <c r="Z12">
        <v>2.9811528283689799</v>
      </c>
    </row>
    <row r="13" spans="1:26" x14ac:dyDescent="0.25">
      <c r="F13">
        <v>8671</v>
      </c>
      <c r="G13">
        <v>674.38037189565398</v>
      </c>
      <c r="I13">
        <v>8670.0040000000008</v>
      </c>
      <c r="J13">
        <v>0</v>
      </c>
      <c r="K13">
        <v>34.259999999999899</v>
      </c>
      <c r="L13">
        <v>34.259999999999899</v>
      </c>
      <c r="N13">
        <v>8670.0040000000008</v>
      </c>
      <c r="O13">
        <v>711397.37881634198</v>
      </c>
      <c r="P13">
        <v>41927.531931504796</v>
      </c>
      <c r="Q13">
        <v>753324.90974784701</v>
      </c>
      <c r="S13">
        <v>8670.0040000000008</v>
      </c>
      <c r="T13">
        <v>48055.9996978977</v>
      </c>
      <c r="V13">
        <v>8670.0040000000008</v>
      </c>
      <c r="W13">
        <v>116997.41236493101</v>
      </c>
      <c r="Y13">
        <v>8670.0040000000008</v>
      </c>
      <c r="Z13">
        <v>3.6561528283689801</v>
      </c>
    </row>
    <row r="14" spans="1:26" x14ac:dyDescent="0.25">
      <c r="F14">
        <v>8672</v>
      </c>
      <c r="G14">
        <v>674.38037189565398</v>
      </c>
      <c r="I14">
        <v>8671.0040000000008</v>
      </c>
      <c r="J14">
        <v>0</v>
      </c>
      <c r="K14">
        <v>41.499999999999901</v>
      </c>
      <c r="L14">
        <v>41.499999999999901</v>
      </c>
      <c r="N14">
        <v>8671.0040000000008</v>
      </c>
      <c r="O14">
        <v>711397.71881634195</v>
      </c>
      <c r="P14">
        <v>41932.366931504803</v>
      </c>
      <c r="Q14">
        <v>753330.08574784698</v>
      </c>
      <c r="S14">
        <v>8671.0040000000008</v>
      </c>
      <c r="T14">
        <v>48055.9996978977</v>
      </c>
      <c r="V14">
        <v>8671.0040000000008</v>
      </c>
      <c r="W14">
        <v>117001.98436493101</v>
      </c>
      <c r="Y14">
        <v>8671.0040000000008</v>
      </c>
      <c r="Z14">
        <v>4.5711528283689802</v>
      </c>
    </row>
    <row r="15" spans="1:26" x14ac:dyDescent="0.25">
      <c r="F15">
        <v>8673</v>
      </c>
      <c r="G15">
        <v>674.38037189565398</v>
      </c>
      <c r="I15">
        <v>8672.0040000000008</v>
      </c>
      <c r="J15">
        <v>0</v>
      </c>
      <c r="K15">
        <v>54.839999999999897</v>
      </c>
      <c r="L15">
        <v>54.839999999999897</v>
      </c>
      <c r="N15">
        <v>8672.0040000000008</v>
      </c>
      <c r="O15">
        <v>711437.81181634194</v>
      </c>
      <c r="P15">
        <v>41937.201931504802</v>
      </c>
      <c r="Q15">
        <v>753375.01374784706</v>
      </c>
      <c r="S15">
        <v>8672.0040000000008</v>
      </c>
      <c r="T15">
        <v>48055.9996978977</v>
      </c>
      <c r="V15">
        <v>8672.0040000000008</v>
      </c>
      <c r="W15">
        <v>117010.451364931</v>
      </c>
      <c r="Y15">
        <v>8672.0040000000008</v>
      </c>
      <c r="Z15">
        <v>8.4671528283689792</v>
      </c>
    </row>
    <row r="16" spans="1:26" x14ac:dyDescent="0.25">
      <c r="F16">
        <v>8674</v>
      </c>
      <c r="G16">
        <v>674.38337189565402</v>
      </c>
      <c r="I16">
        <v>8673.0040000000008</v>
      </c>
      <c r="J16">
        <v>0.217</v>
      </c>
      <c r="K16">
        <v>68.132999999999896</v>
      </c>
      <c r="L16">
        <v>68.349999999999895</v>
      </c>
      <c r="N16">
        <v>8673.0040000000008</v>
      </c>
      <c r="O16">
        <v>711488.79081634199</v>
      </c>
      <c r="P16">
        <v>41942.037931504798</v>
      </c>
      <c r="Q16">
        <v>753430.828747847</v>
      </c>
      <c r="S16">
        <v>8673.0040000000008</v>
      </c>
      <c r="T16">
        <v>48055.9996978977</v>
      </c>
      <c r="V16">
        <v>8673.0040000000008</v>
      </c>
      <c r="W16">
        <v>117021.690364931</v>
      </c>
      <c r="Y16">
        <v>8673.0040000000008</v>
      </c>
      <c r="Z16">
        <v>11.2381528283689</v>
      </c>
    </row>
    <row r="17" spans="6:26" x14ac:dyDescent="0.25">
      <c r="F17">
        <v>8675</v>
      </c>
      <c r="G17">
        <v>674.413371895654</v>
      </c>
      <c r="I17">
        <v>8674.0040000000008</v>
      </c>
      <c r="J17">
        <v>2.371</v>
      </c>
      <c r="K17">
        <v>76.098999999999904</v>
      </c>
      <c r="L17">
        <v>78.469999999999899</v>
      </c>
      <c r="N17">
        <v>8674.0040000000008</v>
      </c>
      <c r="O17">
        <v>711544.66581634199</v>
      </c>
      <c r="P17">
        <v>41946.872931504797</v>
      </c>
      <c r="Q17">
        <v>753491.53874784696</v>
      </c>
      <c r="S17">
        <v>8674.0040000000008</v>
      </c>
      <c r="T17">
        <v>48056.004697897697</v>
      </c>
      <c r="V17">
        <v>8674.0040000000008</v>
      </c>
      <c r="W17">
        <v>117035.082364931</v>
      </c>
      <c r="Y17">
        <v>8674.0040000000008</v>
      </c>
      <c r="Z17">
        <v>13.3921528283689</v>
      </c>
    </row>
    <row r="18" spans="6:26" x14ac:dyDescent="0.25">
      <c r="F18">
        <v>8676</v>
      </c>
      <c r="G18">
        <v>674.48137189565398</v>
      </c>
      <c r="I18">
        <v>8675.0040000000008</v>
      </c>
      <c r="J18">
        <v>5.5449999999999999</v>
      </c>
      <c r="K18">
        <v>73.284999999999897</v>
      </c>
      <c r="L18">
        <v>78.829999999999899</v>
      </c>
      <c r="N18">
        <v>8675.0040000000008</v>
      </c>
      <c r="O18">
        <v>711603.79481634195</v>
      </c>
      <c r="P18">
        <v>41951.7089315048</v>
      </c>
      <c r="Q18">
        <v>753555.50374784705</v>
      </c>
      <c r="S18">
        <v>8675.0040000000008</v>
      </c>
      <c r="T18">
        <v>48056.0566978977</v>
      </c>
      <c r="V18">
        <v>8675.0040000000008</v>
      </c>
      <c r="W18">
        <v>117048.880364931</v>
      </c>
      <c r="Y18">
        <v>8675.0040000000008</v>
      </c>
      <c r="Z18">
        <v>13.798152828368901</v>
      </c>
    </row>
    <row r="19" spans="6:26" x14ac:dyDescent="0.25">
      <c r="F19">
        <v>8677</v>
      </c>
      <c r="G19">
        <v>674.56737189565399</v>
      </c>
      <c r="I19">
        <v>8676.0040000000008</v>
      </c>
      <c r="J19">
        <v>6.7119999999999997</v>
      </c>
      <c r="K19">
        <v>66.187999999999903</v>
      </c>
      <c r="L19">
        <v>72.899999999999906</v>
      </c>
      <c r="N19">
        <v>8676.0040000000008</v>
      </c>
      <c r="O19">
        <v>711655.50581634196</v>
      </c>
      <c r="P19">
        <v>41956.543931504799</v>
      </c>
      <c r="Q19">
        <v>753612.04974784702</v>
      </c>
      <c r="S19">
        <v>8676.0040000000008</v>
      </c>
      <c r="T19">
        <v>48056.154697897698</v>
      </c>
      <c r="V19">
        <v>8676.0040000000008</v>
      </c>
      <c r="W19">
        <v>117062.529364931</v>
      </c>
      <c r="Y19">
        <v>8676.0040000000008</v>
      </c>
      <c r="Z19">
        <v>13.6491528283689</v>
      </c>
    </row>
    <row r="20" spans="6:26" x14ac:dyDescent="0.25">
      <c r="F20">
        <v>8678</v>
      </c>
      <c r="G20">
        <v>674.65437189565398</v>
      </c>
      <c r="I20">
        <v>8677.0040000000008</v>
      </c>
      <c r="J20">
        <v>6.7569999999999997</v>
      </c>
      <c r="K20">
        <v>67.691999999999894</v>
      </c>
      <c r="L20">
        <v>74.449999999999903</v>
      </c>
      <c r="N20">
        <v>8677.0040000000008</v>
      </c>
      <c r="O20">
        <v>711707.08981634199</v>
      </c>
      <c r="P20">
        <v>41961.378931504798</v>
      </c>
      <c r="Q20">
        <v>753668.46974784695</v>
      </c>
      <c r="S20">
        <v>8677.0040000000008</v>
      </c>
      <c r="T20">
        <v>48056.220697897697</v>
      </c>
      <c r="V20">
        <v>8677.0040000000008</v>
      </c>
      <c r="W20">
        <v>117075.857364931</v>
      </c>
      <c r="Y20">
        <v>8677.0040000000008</v>
      </c>
      <c r="Z20">
        <v>13.3281528283689</v>
      </c>
    </row>
    <row r="21" spans="6:26" x14ac:dyDescent="0.25">
      <c r="F21">
        <v>8679</v>
      </c>
      <c r="G21">
        <v>674.71837189565395</v>
      </c>
      <c r="I21">
        <v>8678.0040000000008</v>
      </c>
      <c r="J21">
        <v>4.6189999999999998</v>
      </c>
      <c r="K21">
        <v>65.230999999999895</v>
      </c>
      <c r="L21">
        <v>69.849999999999895</v>
      </c>
      <c r="N21">
        <v>8678.0040000000008</v>
      </c>
      <c r="O21">
        <v>711761.71581634204</v>
      </c>
      <c r="P21">
        <v>41966.214931504801</v>
      </c>
      <c r="Q21">
        <v>753727.93074784696</v>
      </c>
      <c r="S21">
        <v>8678.0040000000008</v>
      </c>
      <c r="T21">
        <v>48056.2496978977</v>
      </c>
      <c r="V21">
        <v>8678.0040000000008</v>
      </c>
      <c r="W21">
        <v>117088.085364931</v>
      </c>
      <c r="Y21">
        <v>8678.0040000000008</v>
      </c>
      <c r="Z21">
        <v>12.227152828368901</v>
      </c>
    </row>
    <row r="22" spans="6:26" x14ac:dyDescent="0.25">
      <c r="F22">
        <v>8680</v>
      </c>
      <c r="G22">
        <v>674.73237189565396</v>
      </c>
      <c r="I22">
        <v>8679.0040000000008</v>
      </c>
      <c r="J22">
        <v>1.0469999999999999</v>
      </c>
      <c r="K22">
        <v>76.512999999999906</v>
      </c>
      <c r="L22">
        <v>77.559999999999903</v>
      </c>
      <c r="N22">
        <v>8679.0040000000008</v>
      </c>
      <c r="O22">
        <v>711832.094816342</v>
      </c>
      <c r="P22">
        <v>41971.0499315048</v>
      </c>
      <c r="Q22">
        <v>753803.14474784699</v>
      </c>
      <c r="S22">
        <v>8679.0040000000008</v>
      </c>
      <c r="T22">
        <v>48056.2496978977</v>
      </c>
      <c r="V22">
        <v>8679.0040000000008</v>
      </c>
      <c r="W22">
        <v>117100.75336493101</v>
      </c>
      <c r="Y22">
        <v>8679.0040000000008</v>
      </c>
      <c r="Z22">
        <v>12.6681528283689</v>
      </c>
    </row>
    <row r="23" spans="6:26" x14ac:dyDescent="0.25">
      <c r="F23">
        <v>8681</v>
      </c>
      <c r="G23">
        <v>674.73237189565396</v>
      </c>
      <c r="I23">
        <v>8680.0040000000008</v>
      </c>
      <c r="J23">
        <v>6.0000000000000001E-3</v>
      </c>
      <c r="K23">
        <v>87.343999999999895</v>
      </c>
      <c r="L23">
        <v>87.349999999999895</v>
      </c>
      <c r="N23">
        <v>8680.0040000000008</v>
      </c>
      <c r="O23">
        <v>711931.13581634196</v>
      </c>
      <c r="P23">
        <v>41975.884931504799</v>
      </c>
      <c r="Q23">
        <v>753907.02074784704</v>
      </c>
      <c r="S23">
        <v>8680.0040000000008</v>
      </c>
      <c r="T23">
        <v>48056.2496978977</v>
      </c>
      <c r="V23">
        <v>8680.0040000000008</v>
      </c>
      <c r="W23">
        <v>117115.006364931</v>
      </c>
      <c r="Y23">
        <v>8680.0040000000008</v>
      </c>
      <c r="Z23">
        <v>14.253152828368901</v>
      </c>
    </row>
    <row r="24" spans="6:26" x14ac:dyDescent="0.25">
      <c r="F24">
        <v>8682</v>
      </c>
      <c r="G24">
        <v>674.73237189565396</v>
      </c>
      <c r="I24">
        <v>8681.0040000000008</v>
      </c>
      <c r="J24">
        <v>0</v>
      </c>
      <c r="K24">
        <v>110.05999999999899</v>
      </c>
      <c r="L24">
        <v>110.05999999999899</v>
      </c>
      <c r="N24">
        <v>8681.0040000000008</v>
      </c>
      <c r="O24">
        <v>712058.56281634199</v>
      </c>
      <c r="P24">
        <v>41980.720931504802</v>
      </c>
      <c r="Q24">
        <v>754039.28274784703</v>
      </c>
      <c r="S24">
        <v>8681.0040000000008</v>
      </c>
      <c r="T24">
        <v>48056.2496978977</v>
      </c>
      <c r="V24">
        <v>8681.0040000000008</v>
      </c>
      <c r="W24">
        <v>117134.790364931</v>
      </c>
      <c r="Y24">
        <v>8681.0040000000008</v>
      </c>
      <c r="Z24">
        <v>19.783152828368902</v>
      </c>
    </row>
    <row r="25" spans="6:26" x14ac:dyDescent="0.25">
      <c r="F25">
        <v>8683</v>
      </c>
      <c r="G25">
        <v>674.73237189565396</v>
      </c>
      <c r="I25">
        <v>8682.0040000000008</v>
      </c>
      <c r="J25">
        <v>0</v>
      </c>
      <c r="K25">
        <v>114.83999999999899</v>
      </c>
      <c r="L25">
        <v>114.83999999999899</v>
      </c>
      <c r="N25">
        <v>8682.0040000000008</v>
      </c>
      <c r="O25">
        <v>712194.94981634198</v>
      </c>
      <c r="P25">
        <v>41985.555931504801</v>
      </c>
      <c r="Q25">
        <v>754180.50574784703</v>
      </c>
      <c r="S25">
        <v>8682.0040000000008</v>
      </c>
      <c r="T25">
        <v>48056.2496978977</v>
      </c>
      <c r="V25">
        <v>8682.0040000000008</v>
      </c>
      <c r="W25">
        <v>117153.085364931</v>
      </c>
      <c r="Y25">
        <v>8682.0040000000008</v>
      </c>
      <c r="Z25">
        <v>18.295152828368899</v>
      </c>
    </row>
    <row r="26" spans="6:26" x14ac:dyDescent="0.25">
      <c r="F26">
        <v>8684</v>
      </c>
      <c r="G26">
        <v>674.73237189565396</v>
      </c>
      <c r="I26">
        <v>8683.0040000000008</v>
      </c>
      <c r="J26">
        <v>0</v>
      </c>
      <c r="K26">
        <v>99.809999999999903</v>
      </c>
      <c r="L26">
        <v>99.809999999999903</v>
      </c>
      <c r="N26">
        <v>8683.0040000000008</v>
      </c>
      <c r="O26">
        <v>712312.295816342</v>
      </c>
      <c r="P26">
        <v>41990.391931504797</v>
      </c>
      <c r="Q26">
        <v>754302.68774784706</v>
      </c>
      <c r="S26">
        <v>8683.0040000000008</v>
      </c>
      <c r="T26">
        <v>48056.2496978977</v>
      </c>
      <c r="V26">
        <v>8683.0040000000008</v>
      </c>
      <c r="W26">
        <v>117168.608364931</v>
      </c>
      <c r="Y26">
        <v>8683.0040000000008</v>
      </c>
      <c r="Z26">
        <v>15.5231528283689</v>
      </c>
    </row>
    <row r="27" spans="6:26" x14ac:dyDescent="0.25">
      <c r="F27">
        <v>8685</v>
      </c>
      <c r="G27">
        <v>674.73237189565396</v>
      </c>
      <c r="I27">
        <v>8684.0040000000008</v>
      </c>
      <c r="J27">
        <v>0</v>
      </c>
      <c r="K27">
        <v>85.519999999999897</v>
      </c>
      <c r="L27">
        <v>85.519999999999897</v>
      </c>
      <c r="N27">
        <v>8684.0040000000008</v>
      </c>
      <c r="O27">
        <v>712409.84281634202</v>
      </c>
      <c r="P27">
        <v>41995.226931504803</v>
      </c>
      <c r="Q27">
        <v>754405.06974784704</v>
      </c>
      <c r="S27">
        <v>8684.0040000000008</v>
      </c>
      <c r="T27">
        <v>48056.2496978977</v>
      </c>
      <c r="V27">
        <v>8684.0040000000008</v>
      </c>
      <c r="W27">
        <v>117183.97736493099</v>
      </c>
      <c r="Y27">
        <v>8684.0040000000008</v>
      </c>
      <c r="Z27">
        <v>15.3691528283689</v>
      </c>
    </row>
    <row r="28" spans="6:26" x14ac:dyDescent="0.25">
      <c r="F28">
        <v>8686</v>
      </c>
      <c r="G28">
        <v>674.73237189565396</v>
      </c>
      <c r="I28">
        <v>8685.0040000000008</v>
      </c>
      <c r="J28">
        <v>0</v>
      </c>
      <c r="K28">
        <v>75.589999999999904</v>
      </c>
      <c r="L28">
        <v>75.589999999999904</v>
      </c>
      <c r="N28">
        <v>8685.0040000000008</v>
      </c>
      <c r="O28">
        <v>712491.49581634195</v>
      </c>
      <c r="P28">
        <v>42000.061931504802</v>
      </c>
      <c r="Q28">
        <v>754491.55874784698</v>
      </c>
      <c r="S28">
        <v>8685.0040000000008</v>
      </c>
      <c r="T28">
        <v>48056.2496978977</v>
      </c>
      <c r="V28">
        <v>8685.0040000000008</v>
      </c>
      <c r="W28">
        <v>117197.64436493099</v>
      </c>
      <c r="Y28">
        <v>8685.0040000000008</v>
      </c>
      <c r="Z28">
        <v>13.6671528283689</v>
      </c>
    </row>
    <row r="29" spans="6:26" x14ac:dyDescent="0.25">
      <c r="F29">
        <v>8687</v>
      </c>
      <c r="G29">
        <v>674.73237189565396</v>
      </c>
      <c r="I29">
        <v>8686.0040000000008</v>
      </c>
      <c r="J29">
        <v>0</v>
      </c>
      <c r="K29">
        <v>64.029999999999902</v>
      </c>
      <c r="L29">
        <v>64.029999999999902</v>
      </c>
      <c r="N29">
        <v>8686.0040000000008</v>
      </c>
      <c r="O29">
        <v>712558.36881634197</v>
      </c>
      <c r="P29">
        <v>42004.897931504798</v>
      </c>
      <c r="Q29">
        <v>754563.26674784697</v>
      </c>
      <c r="S29">
        <v>8686.0040000000008</v>
      </c>
      <c r="T29">
        <v>48056.2496978977</v>
      </c>
      <c r="V29">
        <v>8686.0040000000008</v>
      </c>
      <c r="W29">
        <v>117209.184364931</v>
      </c>
      <c r="Y29">
        <v>8686.0040000000008</v>
      </c>
      <c r="Z29">
        <v>11.5401528283689</v>
      </c>
    </row>
    <row r="30" spans="6:26" x14ac:dyDescent="0.25">
      <c r="F30">
        <v>8688</v>
      </c>
      <c r="G30">
        <v>674.73237189565396</v>
      </c>
      <c r="I30">
        <v>8687.0040000000008</v>
      </c>
      <c r="J30">
        <v>0</v>
      </c>
      <c r="K30">
        <v>51.1799999999999</v>
      </c>
      <c r="L30">
        <v>51.1799999999999</v>
      </c>
      <c r="N30">
        <v>8687.0040000000008</v>
      </c>
      <c r="O30">
        <v>712611.09581634204</v>
      </c>
      <c r="P30">
        <v>42009.732931504797</v>
      </c>
      <c r="Q30">
        <v>754620.828747847</v>
      </c>
      <c r="S30">
        <v>8687.0040000000008</v>
      </c>
      <c r="T30">
        <v>48056.2496978977</v>
      </c>
      <c r="V30">
        <v>8687.0040000000008</v>
      </c>
      <c r="W30">
        <v>117221.35636493099</v>
      </c>
      <c r="Y30">
        <v>8687.0040000000008</v>
      </c>
      <c r="Z30">
        <v>12.172152828368899</v>
      </c>
    </row>
    <row r="31" spans="6:26" x14ac:dyDescent="0.25">
      <c r="F31">
        <v>8689</v>
      </c>
      <c r="G31">
        <v>674.73237189565396</v>
      </c>
      <c r="I31">
        <v>8688.0040000000008</v>
      </c>
      <c r="J31">
        <v>0</v>
      </c>
      <c r="K31">
        <v>42.139999999999901</v>
      </c>
      <c r="L31">
        <v>42.139999999999901</v>
      </c>
      <c r="N31">
        <v>8688.0040000000008</v>
      </c>
      <c r="O31">
        <v>712659.57081634202</v>
      </c>
      <c r="P31">
        <v>42014.567931504796</v>
      </c>
      <c r="Q31">
        <v>754674.13974784699</v>
      </c>
      <c r="S31">
        <v>8688.0040000000008</v>
      </c>
      <c r="T31">
        <v>48056.2496978977</v>
      </c>
      <c r="V31">
        <v>8688.0040000000008</v>
      </c>
      <c r="W31">
        <v>117234.53336493101</v>
      </c>
      <c r="Y31">
        <v>8688.0040000000008</v>
      </c>
      <c r="Z31">
        <v>13.1771528283689</v>
      </c>
    </row>
    <row r="32" spans="6:26" x14ac:dyDescent="0.25">
      <c r="F32">
        <v>8690</v>
      </c>
      <c r="G32">
        <v>674.73237189565396</v>
      </c>
      <c r="I32">
        <v>8689.0040000000008</v>
      </c>
      <c r="J32">
        <v>0</v>
      </c>
      <c r="K32">
        <v>36.769999999999897</v>
      </c>
      <c r="L32">
        <v>36.769999999999897</v>
      </c>
      <c r="N32">
        <v>8689.0040000000008</v>
      </c>
      <c r="O32">
        <v>712701.84181634197</v>
      </c>
      <c r="P32">
        <v>42019.403931504799</v>
      </c>
      <c r="Q32">
        <v>754721.24474784697</v>
      </c>
      <c r="S32">
        <v>8689.0040000000008</v>
      </c>
      <c r="T32">
        <v>48056.2496978977</v>
      </c>
      <c r="V32">
        <v>8689.0040000000008</v>
      </c>
      <c r="W32">
        <v>117246.48036493101</v>
      </c>
      <c r="Y32">
        <v>8689.0040000000008</v>
      </c>
      <c r="Z32">
        <v>11.948152828368899</v>
      </c>
    </row>
    <row r="33" spans="6:26" x14ac:dyDescent="0.25">
      <c r="F33">
        <v>8691</v>
      </c>
      <c r="G33">
        <v>674.73237189565396</v>
      </c>
      <c r="I33">
        <v>8690.0040000000008</v>
      </c>
      <c r="J33">
        <v>0</v>
      </c>
      <c r="K33">
        <v>33.149999999999899</v>
      </c>
      <c r="L33">
        <v>33.149999999999899</v>
      </c>
      <c r="N33">
        <v>8690.0040000000008</v>
      </c>
      <c r="O33">
        <v>712740.14781634195</v>
      </c>
      <c r="P33">
        <v>42024.238931504799</v>
      </c>
      <c r="Q33">
        <v>754764.38674784696</v>
      </c>
      <c r="S33">
        <v>8690.0040000000008</v>
      </c>
      <c r="T33">
        <v>48056.2496978977</v>
      </c>
      <c r="V33">
        <v>8690.0040000000008</v>
      </c>
      <c r="W33">
        <v>117257.46236493099</v>
      </c>
      <c r="Y33">
        <v>8690.0040000000008</v>
      </c>
      <c r="Z33">
        <v>10.9821528283689</v>
      </c>
    </row>
    <row r="34" spans="6:26" x14ac:dyDescent="0.25">
      <c r="F34">
        <v>8692</v>
      </c>
      <c r="G34">
        <v>674.73237189565396</v>
      </c>
      <c r="I34">
        <v>8691.0040000000008</v>
      </c>
      <c r="J34">
        <v>0</v>
      </c>
      <c r="K34">
        <v>31.799999999999901</v>
      </c>
      <c r="L34">
        <v>31.799999999999901</v>
      </c>
      <c r="N34">
        <v>8691.0040000000008</v>
      </c>
      <c r="O34">
        <v>712777.22681634198</v>
      </c>
      <c r="P34">
        <v>42029.074931504801</v>
      </c>
      <c r="Q34">
        <v>754806.301747847</v>
      </c>
      <c r="S34">
        <v>8691.0040000000008</v>
      </c>
      <c r="T34">
        <v>48056.2496978977</v>
      </c>
      <c r="V34">
        <v>8691.0040000000008</v>
      </c>
      <c r="W34">
        <v>117269.614364931</v>
      </c>
      <c r="Y34">
        <v>8691.0040000000008</v>
      </c>
      <c r="Z34">
        <v>12.1511528283689</v>
      </c>
    </row>
    <row r="35" spans="6:26" x14ac:dyDescent="0.25">
      <c r="F35">
        <v>8693</v>
      </c>
      <c r="G35">
        <v>674.73237189565396</v>
      </c>
      <c r="I35">
        <v>8692.0040000000008</v>
      </c>
      <c r="J35">
        <v>0</v>
      </c>
      <c r="K35">
        <v>29.939999999999898</v>
      </c>
      <c r="L35">
        <v>29.939999999999898</v>
      </c>
      <c r="N35">
        <v>8692.0040000000008</v>
      </c>
      <c r="O35">
        <v>712814.23581634206</v>
      </c>
      <c r="P35">
        <v>42033.909931504801</v>
      </c>
      <c r="Q35">
        <v>754848.14574784704</v>
      </c>
      <c r="S35">
        <v>8692.0040000000008</v>
      </c>
      <c r="T35">
        <v>48056.2496978977</v>
      </c>
      <c r="V35">
        <v>8692.0040000000008</v>
      </c>
      <c r="W35">
        <v>117282.64036493099</v>
      </c>
      <c r="Y35">
        <v>8692.0040000000008</v>
      </c>
      <c r="Z35">
        <v>13.0261528283689</v>
      </c>
    </row>
    <row r="36" spans="6:26" x14ac:dyDescent="0.25">
      <c r="F36">
        <v>8694</v>
      </c>
      <c r="G36">
        <v>674.73237189565396</v>
      </c>
      <c r="I36">
        <v>8693.0040000000008</v>
      </c>
      <c r="J36">
        <v>0</v>
      </c>
      <c r="K36">
        <v>31.8599999999999</v>
      </c>
      <c r="L36">
        <v>31.8599999999999</v>
      </c>
      <c r="N36">
        <v>8693.0040000000008</v>
      </c>
      <c r="O36">
        <v>712856.30481634196</v>
      </c>
      <c r="P36">
        <v>42038.7449315048</v>
      </c>
      <c r="Q36">
        <v>754895.04974784702</v>
      </c>
      <c r="S36">
        <v>8693.0040000000008</v>
      </c>
      <c r="T36">
        <v>48056.2496978977</v>
      </c>
      <c r="V36">
        <v>8693.0040000000008</v>
      </c>
      <c r="W36">
        <v>117297.14336493101</v>
      </c>
      <c r="Y36">
        <v>8693.0040000000008</v>
      </c>
      <c r="Z36">
        <v>14.503152828368901</v>
      </c>
    </row>
    <row r="37" spans="6:26" x14ac:dyDescent="0.25">
      <c r="F37">
        <v>8695</v>
      </c>
      <c r="G37">
        <v>674.73237189565396</v>
      </c>
      <c r="I37">
        <v>8694.0040000000008</v>
      </c>
      <c r="J37">
        <v>0</v>
      </c>
      <c r="K37">
        <v>41.879999999999903</v>
      </c>
      <c r="L37">
        <v>41.879999999999903</v>
      </c>
      <c r="N37">
        <v>8694.0040000000008</v>
      </c>
      <c r="O37">
        <v>712913.44681634195</v>
      </c>
      <c r="P37">
        <v>42043.580931504803</v>
      </c>
      <c r="Q37">
        <v>754957.02774784702</v>
      </c>
      <c r="S37">
        <v>8694.0040000000008</v>
      </c>
      <c r="T37">
        <v>48056.2496978977</v>
      </c>
      <c r="V37">
        <v>8694.0040000000008</v>
      </c>
      <c r="W37">
        <v>117318.629364931</v>
      </c>
      <c r="Y37">
        <v>8694.0040000000008</v>
      </c>
      <c r="Z37">
        <v>21.486152828368901</v>
      </c>
    </row>
    <row r="38" spans="6:26" x14ac:dyDescent="0.25">
      <c r="F38">
        <v>8696</v>
      </c>
      <c r="G38">
        <v>674.73237189565396</v>
      </c>
      <c r="I38">
        <v>8695.0040000000008</v>
      </c>
      <c r="J38">
        <v>0</v>
      </c>
      <c r="K38">
        <v>48.639999999999901</v>
      </c>
      <c r="L38">
        <v>48.639999999999901</v>
      </c>
      <c r="N38">
        <v>8695.0040000000008</v>
      </c>
      <c r="O38">
        <v>712985.61881634197</v>
      </c>
      <c r="P38">
        <v>42048.415931504802</v>
      </c>
      <c r="Q38">
        <v>755034.03474784701</v>
      </c>
      <c r="S38">
        <v>8695.0040000000008</v>
      </c>
      <c r="T38">
        <v>48056.2496978977</v>
      </c>
      <c r="V38">
        <v>8695.0040000000008</v>
      </c>
      <c r="W38">
        <v>117347.631364931</v>
      </c>
      <c r="Y38">
        <v>8695.0040000000008</v>
      </c>
      <c r="Z38">
        <v>29.001152828368902</v>
      </c>
    </row>
    <row r="39" spans="6:26" x14ac:dyDescent="0.25">
      <c r="F39">
        <v>8697</v>
      </c>
      <c r="G39">
        <v>674.73337189565405</v>
      </c>
      <c r="I39">
        <v>8696.0040000000008</v>
      </c>
      <c r="J39">
        <v>6.5000000000000002E-2</v>
      </c>
      <c r="K39">
        <v>53.144999999999897</v>
      </c>
      <c r="L39">
        <v>53.209999999999901</v>
      </c>
      <c r="N39">
        <v>8696.0040000000008</v>
      </c>
      <c r="O39">
        <v>713069.23281634203</v>
      </c>
      <c r="P39">
        <v>42053.250931504801</v>
      </c>
      <c r="Q39">
        <v>755122.48474784696</v>
      </c>
      <c r="S39">
        <v>8696.0040000000008</v>
      </c>
      <c r="T39">
        <v>48056.2496978977</v>
      </c>
      <c r="V39">
        <v>8696.0040000000008</v>
      </c>
      <c r="W39">
        <v>117380.967364931</v>
      </c>
      <c r="Y39">
        <v>8696.0040000000008</v>
      </c>
      <c r="Z39">
        <v>33.336152828368903</v>
      </c>
    </row>
    <row r="40" spans="6:26" x14ac:dyDescent="0.25">
      <c r="F40">
        <v>8698</v>
      </c>
      <c r="G40">
        <v>674.783371895654</v>
      </c>
      <c r="I40">
        <v>8697.0040000000008</v>
      </c>
      <c r="J40">
        <v>3.2789999999999999</v>
      </c>
      <c r="K40">
        <v>60.220999999999897</v>
      </c>
      <c r="L40">
        <v>63.499999999999901</v>
      </c>
      <c r="N40">
        <v>8697.0040000000008</v>
      </c>
      <c r="O40">
        <v>713176.74581634195</v>
      </c>
      <c r="P40">
        <v>42058.086931504797</v>
      </c>
      <c r="Q40">
        <v>755234.83274784696</v>
      </c>
      <c r="S40">
        <v>8697.0040000000008</v>
      </c>
      <c r="T40">
        <v>48056.3026978977</v>
      </c>
      <c r="V40">
        <v>8697.0040000000008</v>
      </c>
      <c r="W40">
        <v>117420.630364931</v>
      </c>
      <c r="Y40">
        <v>8697.0040000000008</v>
      </c>
      <c r="Z40">
        <v>39.662152828368903</v>
      </c>
    </row>
    <row r="41" spans="6:26" x14ac:dyDescent="0.25">
      <c r="F41">
        <v>8699</v>
      </c>
      <c r="G41">
        <v>674.91437189565397</v>
      </c>
      <c r="I41">
        <v>8698.0040000000008</v>
      </c>
      <c r="J41">
        <v>12.442</v>
      </c>
      <c r="K41">
        <v>56.127999999999901</v>
      </c>
      <c r="L41">
        <v>68.569999999999894</v>
      </c>
      <c r="N41">
        <v>8698.0040000000008</v>
      </c>
      <c r="O41">
        <v>713283.16881634202</v>
      </c>
      <c r="P41">
        <v>42062.921931504803</v>
      </c>
      <c r="Q41">
        <v>755346.09074784699</v>
      </c>
      <c r="S41">
        <v>8698.0040000000008</v>
      </c>
      <c r="T41">
        <v>48058.1966978977</v>
      </c>
      <c r="V41">
        <v>8698.0040000000008</v>
      </c>
      <c r="W41">
        <v>117456.661364931</v>
      </c>
      <c r="Y41">
        <v>8698.0040000000008</v>
      </c>
      <c r="Z41">
        <v>36.031152828368903</v>
      </c>
    </row>
    <row r="42" spans="6:26" x14ac:dyDescent="0.25">
      <c r="F42">
        <v>8700</v>
      </c>
      <c r="G42">
        <v>675.06437189565395</v>
      </c>
      <c r="I42">
        <v>8699.0040000000008</v>
      </c>
      <c r="J42">
        <v>18.151</v>
      </c>
      <c r="K42">
        <v>53.018999999999899</v>
      </c>
      <c r="L42">
        <v>71.169999999999902</v>
      </c>
      <c r="N42">
        <v>8699.0040000000008</v>
      </c>
      <c r="O42">
        <v>713376.63081634196</v>
      </c>
      <c r="P42">
        <v>42067.757931504799</v>
      </c>
      <c r="Q42">
        <v>755444.38874784706</v>
      </c>
      <c r="S42">
        <v>8699.0040000000008</v>
      </c>
      <c r="T42">
        <v>48061.726697897699</v>
      </c>
      <c r="V42">
        <v>8699.0040000000008</v>
      </c>
      <c r="W42">
        <v>117490.044364931</v>
      </c>
      <c r="Y42">
        <v>8699.0040000000008</v>
      </c>
      <c r="Z42">
        <v>33.3831528283689</v>
      </c>
    </row>
    <row r="43" spans="6:26" x14ac:dyDescent="0.25">
      <c r="F43">
        <v>8701</v>
      </c>
      <c r="G43">
        <v>675.23937189565402</v>
      </c>
      <c r="I43">
        <v>8700.0040000000008</v>
      </c>
      <c r="J43">
        <v>17.303999999999998</v>
      </c>
      <c r="K43">
        <v>43.605999999999902</v>
      </c>
      <c r="L43">
        <v>60.909999999999897</v>
      </c>
      <c r="N43">
        <v>8700.0040000000008</v>
      </c>
      <c r="O43">
        <v>713451.496816342</v>
      </c>
      <c r="P43">
        <v>42072.592931504798</v>
      </c>
      <c r="Q43">
        <v>755524.08974784706</v>
      </c>
      <c r="S43">
        <v>8700.0040000000008</v>
      </c>
      <c r="T43">
        <v>48064.781697897699</v>
      </c>
      <c r="V43">
        <v>8700.0040000000008</v>
      </c>
      <c r="W43">
        <v>117516.139364931</v>
      </c>
      <c r="Y43">
        <v>8700.0040000000008</v>
      </c>
      <c r="Z43">
        <v>26.095152828368899</v>
      </c>
    </row>
    <row r="44" spans="6:26" x14ac:dyDescent="0.25">
      <c r="F44">
        <v>8702</v>
      </c>
      <c r="G44">
        <v>675.38937189565399</v>
      </c>
      <c r="I44">
        <v>8701.0040000000008</v>
      </c>
      <c r="J44">
        <v>12.132</v>
      </c>
      <c r="K44">
        <v>48.367999999999903</v>
      </c>
      <c r="L44">
        <v>60.499999999999901</v>
      </c>
      <c r="N44">
        <v>8701.0040000000008</v>
      </c>
      <c r="O44">
        <v>713526.23681634199</v>
      </c>
      <c r="P44">
        <v>42077.427931504797</v>
      </c>
      <c r="Q44">
        <v>755603.66474784701</v>
      </c>
      <c r="S44">
        <v>8701.0040000000008</v>
      </c>
      <c r="T44">
        <v>48066.139697897699</v>
      </c>
      <c r="V44">
        <v>8701.0040000000008</v>
      </c>
      <c r="W44">
        <v>117542.361364931</v>
      </c>
      <c r="Y44">
        <v>8701.0040000000008</v>
      </c>
      <c r="Z44">
        <v>26.222152828368898</v>
      </c>
    </row>
    <row r="45" spans="6:26" x14ac:dyDescent="0.25">
      <c r="F45">
        <v>8703</v>
      </c>
      <c r="G45">
        <v>675.47237189565396</v>
      </c>
      <c r="I45">
        <v>8702.0040000000008</v>
      </c>
      <c r="J45">
        <v>5.2640000000000002</v>
      </c>
      <c r="K45">
        <v>56.245999999999903</v>
      </c>
      <c r="L45">
        <v>61.509999999999899</v>
      </c>
      <c r="N45">
        <v>8702.0040000000008</v>
      </c>
      <c r="O45">
        <v>713606.00781634205</v>
      </c>
      <c r="P45">
        <v>42082.2639315048</v>
      </c>
      <c r="Q45">
        <v>755688.27174784697</v>
      </c>
      <c r="S45">
        <v>8702.0040000000008</v>
      </c>
      <c r="T45">
        <v>48066.204697897701</v>
      </c>
      <c r="V45">
        <v>8702.0040000000008</v>
      </c>
      <c r="W45">
        <v>117568.987364931</v>
      </c>
      <c r="Y45">
        <v>8702.0040000000008</v>
      </c>
      <c r="Z45">
        <v>26.626152828368902</v>
      </c>
    </row>
    <row r="46" spans="6:26" x14ac:dyDescent="0.25">
      <c r="F46">
        <v>8704</v>
      </c>
      <c r="G46">
        <v>675.47937189565403</v>
      </c>
      <c r="I46">
        <v>8703.0040000000008</v>
      </c>
      <c r="J46">
        <v>0.48</v>
      </c>
      <c r="K46">
        <v>66.149999999999906</v>
      </c>
      <c r="L46">
        <v>66.629999999999896</v>
      </c>
      <c r="N46">
        <v>8703.0040000000008</v>
      </c>
      <c r="O46">
        <v>713698.78281634196</v>
      </c>
      <c r="P46">
        <v>42087.098931504799</v>
      </c>
      <c r="Q46">
        <v>755785.88174784696</v>
      </c>
      <c r="S46">
        <v>8703.0040000000008</v>
      </c>
      <c r="T46">
        <v>48066.204697897701</v>
      </c>
      <c r="V46">
        <v>8703.0040000000008</v>
      </c>
      <c r="W46">
        <v>117595.29936493099</v>
      </c>
      <c r="Y46">
        <v>8703.0040000000008</v>
      </c>
      <c r="Z46">
        <v>26.312152828368902</v>
      </c>
    </row>
    <row r="47" spans="6:26" x14ac:dyDescent="0.25">
      <c r="F47">
        <v>8705</v>
      </c>
      <c r="G47">
        <v>675.47937189565403</v>
      </c>
      <c r="I47">
        <v>8704.0040000000008</v>
      </c>
      <c r="J47">
        <v>2E-3</v>
      </c>
      <c r="K47">
        <v>85.227999999999895</v>
      </c>
      <c r="L47">
        <v>85.229999999999905</v>
      </c>
      <c r="N47">
        <v>8704.0040000000008</v>
      </c>
      <c r="O47">
        <v>713821.04781634198</v>
      </c>
      <c r="P47">
        <v>42091.933931504798</v>
      </c>
      <c r="Q47">
        <v>755912.98174784705</v>
      </c>
      <c r="S47">
        <v>8704.0040000000008</v>
      </c>
      <c r="T47">
        <v>48066.204697897701</v>
      </c>
      <c r="V47">
        <v>8704.0040000000008</v>
      </c>
      <c r="W47">
        <v>117624.665364931</v>
      </c>
      <c r="Y47">
        <v>8704.0040000000008</v>
      </c>
      <c r="Z47">
        <v>29.3661528283689</v>
      </c>
    </row>
    <row r="48" spans="6:26" x14ac:dyDescent="0.25">
      <c r="F48">
        <v>8706</v>
      </c>
      <c r="G48">
        <v>675.47937189565403</v>
      </c>
      <c r="I48">
        <v>8705.0040000000008</v>
      </c>
      <c r="J48">
        <v>0</v>
      </c>
      <c r="K48">
        <v>110.709999999999</v>
      </c>
      <c r="L48">
        <v>110.709999999999</v>
      </c>
      <c r="N48">
        <v>8705.0040000000008</v>
      </c>
      <c r="O48">
        <v>713975.40781634196</v>
      </c>
      <c r="P48">
        <v>42096.769931504801</v>
      </c>
      <c r="Q48">
        <v>756072.17774784705</v>
      </c>
      <c r="S48">
        <v>8705.0040000000008</v>
      </c>
      <c r="T48">
        <v>48066.204697897701</v>
      </c>
      <c r="V48">
        <v>8705.0040000000008</v>
      </c>
      <c r="W48">
        <v>117659.952364931</v>
      </c>
      <c r="Y48">
        <v>8705.0040000000008</v>
      </c>
      <c r="Z48">
        <v>35.286152828368898</v>
      </c>
    </row>
    <row r="49" spans="6:26" x14ac:dyDescent="0.25">
      <c r="F49">
        <v>8707</v>
      </c>
      <c r="G49">
        <v>675.47937189565403</v>
      </c>
      <c r="I49">
        <v>8706.0040000000008</v>
      </c>
      <c r="J49">
        <v>0</v>
      </c>
      <c r="K49">
        <v>117.83999999999899</v>
      </c>
      <c r="L49">
        <v>117.83999999999899</v>
      </c>
      <c r="N49">
        <v>8706.0040000000008</v>
      </c>
      <c r="O49">
        <v>714134.170816342</v>
      </c>
      <c r="P49">
        <v>42101.6049315048</v>
      </c>
      <c r="Q49">
        <v>756235.77574784704</v>
      </c>
      <c r="S49">
        <v>8706.0040000000008</v>
      </c>
      <c r="T49">
        <v>48066.204697897701</v>
      </c>
      <c r="V49">
        <v>8706.0040000000008</v>
      </c>
      <c r="W49">
        <v>117690.959364931</v>
      </c>
      <c r="Y49">
        <v>8706.0040000000008</v>
      </c>
      <c r="Z49">
        <v>31.007152828368898</v>
      </c>
    </row>
    <row r="50" spans="6:26" x14ac:dyDescent="0.25">
      <c r="F50">
        <v>8708</v>
      </c>
      <c r="G50">
        <v>675.47937189565403</v>
      </c>
      <c r="I50">
        <v>8707.0040000000008</v>
      </c>
      <c r="J50">
        <v>0</v>
      </c>
      <c r="K50">
        <v>96.079999999999899</v>
      </c>
      <c r="L50">
        <v>96.079999999999899</v>
      </c>
      <c r="N50">
        <v>8707.0040000000008</v>
      </c>
      <c r="O50">
        <v>714252.00481634203</v>
      </c>
      <c r="P50">
        <v>42106.440931504803</v>
      </c>
      <c r="Q50">
        <v>756358.44574784697</v>
      </c>
      <c r="S50">
        <v>8707.0040000000008</v>
      </c>
      <c r="T50">
        <v>48066.204697897701</v>
      </c>
      <c r="V50">
        <v>8707.0040000000008</v>
      </c>
      <c r="W50">
        <v>117712.652364931</v>
      </c>
      <c r="Y50">
        <v>8707.0040000000008</v>
      </c>
      <c r="Z50">
        <v>21.693152828368898</v>
      </c>
    </row>
    <row r="51" spans="6:26" x14ac:dyDescent="0.25">
      <c r="F51">
        <v>8709</v>
      </c>
      <c r="G51">
        <v>675.47937189565403</v>
      </c>
      <c r="I51">
        <v>8708.0040000000008</v>
      </c>
      <c r="J51">
        <v>0</v>
      </c>
      <c r="K51">
        <v>89.249999999999901</v>
      </c>
      <c r="L51">
        <v>89.249999999999901</v>
      </c>
      <c r="N51">
        <v>8708.0040000000008</v>
      </c>
      <c r="O51">
        <v>714338.02781634196</v>
      </c>
      <c r="P51">
        <v>42111.275931504802</v>
      </c>
      <c r="Q51">
        <v>756449.30274784705</v>
      </c>
      <c r="S51">
        <v>8708.0040000000008</v>
      </c>
      <c r="T51">
        <v>48066.204697897701</v>
      </c>
      <c r="V51">
        <v>8708.0040000000008</v>
      </c>
      <c r="W51">
        <v>117729.611364931</v>
      </c>
      <c r="Y51">
        <v>8708.0040000000008</v>
      </c>
      <c r="Z51">
        <v>16.9591528283689</v>
      </c>
    </row>
    <row r="52" spans="6:26" x14ac:dyDescent="0.25">
      <c r="F52">
        <v>8710</v>
      </c>
      <c r="G52">
        <v>675.47937189565403</v>
      </c>
      <c r="I52">
        <v>8709.0040000000008</v>
      </c>
      <c r="J52">
        <v>0</v>
      </c>
      <c r="K52">
        <v>72.969999999999899</v>
      </c>
      <c r="L52">
        <v>72.969999999999899</v>
      </c>
      <c r="N52">
        <v>8709.0040000000008</v>
      </c>
      <c r="O52">
        <v>714407.05181634205</v>
      </c>
      <c r="P52">
        <v>42116.110931504802</v>
      </c>
      <c r="Q52">
        <v>756523.16274784703</v>
      </c>
      <c r="S52">
        <v>8709.0040000000008</v>
      </c>
      <c r="T52">
        <v>48066.204697897701</v>
      </c>
      <c r="V52">
        <v>8709.0040000000008</v>
      </c>
      <c r="W52">
        <v>117743.017364931</v>
      </c>
      <c r="Y52">
        <v>8709.0040000000008</v>
      </c>
      <c r="Z52">
        <v>13.406152828368899</v>
      </c>
    </row>
    <row r="53" spans="6:26" x14ac:dyDescent="0.25">
      <c r="F53">
        <v>8711</v>
      </c>
      <c r="G53">
        <v>675.47937189565403</v>
      </c>
      <c r="I53">
        <v>8710.0040000000008</v>
      </c>
      <c r="J53">
        <v>0</v>
      </c>
      <c r="K53">
        <v>66.8599999999999</v>
      </c>
      <c r="L53">
        <v>66.8599999999999</v>
      </c>
      <c r="N53">
        <v>8710.0040000000008</v>
      </c>
      <c r="O53">
        <v>714468.45081634203</v>
      </c>
      <c r="P53">
        <v>42120.946931504797</v>
      </c>
      <c r="Q53">
        <v>756589.39774784702</v>
      </c>
      <c r="S53">
        <v>8710.0040000000008</v>
      </c>
      <c r="T53">
        <v>48066.204697897701</v>
      </c>
      <c r="V53">
        <v>8710.0040000000008</v>
      </c>
      <c r="W53">
        <v>117754.290364931</v>
      </c>
      <c r="Y53">
        <v>8710.0040000000008</v>
      </c>
      <c r="Z53">
        <v>11.2731528283689</v>
      </c>
    </row>
    <row r="54" spans="6:26" x14ac:dyDescent="0.25">
      <c r="F54">
        <v>8712</v>
      </c>
      <c r="G54">
        <v>675.47937189565403</v>
      </c>
      <c r="I54">
        <v>8711.0040000000008</v>
      </c>
      <c r="J54">
        <v>0</v>
      </c>
      <c r="K54">
        <v>55.309999999999903</v>
      </c>
      <c r="L54">
        <v>55.309999999999903</v>
      </c>
      <c r="N54">
        <v>8711.0040000000008</v>
      </c>
      <c r="O54">
        <v>714517.18081634201</v>
      </c>
      <c r="P54">
        <v>42125.781931504796</v>
      </c>
      <c r="Q54">
        <v>756642.96274784696</v>
      </c>
      <c r="S54">
        <v>8711.0040000000008</v>
      </c>
      <c r="T54">
        <v>48066.204697897701</v>
      </c>
      <c r="V54">
        <v>8711.0040000000008</v>
      </c>
      <c r="W54">
        <v>117763.222364931</v>
      </c>
      <c r="Y54">
        <v>8711.0040000000008</v>
      </c>
      <c r="Z54">
        <v>8.9311528283689796</v>
      </c>
    </row>
    <row r="55" spans="6:26" x14ac:dyDescent="0.25">
      <c r="F55">
        <v>8713</v>
      </c>
      <c r="G55">
        <v>675.47937189565403</v>
      </c>
      <c r="I55">
        <v>8712.0040000000008</v>
      </c>
      <c r="J55">
        <v>0</v>
      </c>
      <c r="K55">
        <v>43.079999999999899</v>
      </c>
      <c r="L55">
        <v>43.079999999999899</v>
      </c>
      <c r="N55">
        <v>8712.0040000000008</v>
      </c>
      <c r="O55">
        <v>714563.876816342</v>
      </c>
      <c r="P55">
        <v>42130.616931504803</v>
      </c>
      <c r="Q55">
        <v>756694.49374784704</v>
      </c>
      <c r="S55">
        <v>8712.0040000000008</v>
      </c>
      <c r="T55">
        <v>48066.204697897701</v>
      </c>
      <c r="V55">
        <v>8712.0040000000008</v>
      </c>
      <c r="W55">
        <v>117769.986364931</v>
      </c>
      <c r="Y55">
        <v>8712.0040000000008</v>
      </c>
      <c r="Z55">
        <v>6.7641528283689798</v>
      </c>
    </row>
    <row r="56" spans="6:26" x14ac:dyDescent="0.25">
      <c r="F56">
        <v>8714</v>
      </c>
      <c r="G56">
        <v>675.47937189565403</v>
      </c>
      <c r="I56">
        <v>8713.0040000000008</v>
      </c>
      <c r="J56">
        <v>0</v>
      </c>
      <c r="K56">
        <v>35.169999999999902</v>
      </c>
      <c r="L56">
        <v>35.169999999999902</v>
      </c>
      <c r="N56">
        <v>8713.0040000000008</v>
      </c>
      <c r="O56">
        <v>714601.57881634205</v>
      </c>
      <c r="P56">
        <v>42135.452931504798</v>
      </c>
      <c r="Q56">
        <v>756737.03174784698</v>
      </c>
      <c r="S56">
        <v>8713.0040000000008</v>
      </c>
      <c r="T56">
        <v>48066.204697897701</v>
      </c>
      <c r="V56">
        <v>8713.0040000000008</v>
      </c>
      <c r="W56">
        <v>117774.955364931</v>
      </c>
      <c r="Y56">
        <v>8713.0040000000008</v>
      </c>
      <c r="Z56">
        <v>4.9691528283689799</v>
      </c>
    </row>
    <row r="57" spans="6:26" x14ac:dyDescent="0.25">
      <c r="F57">
        <v>8715</v>
      </c>
      <c r="G57">
        <v>675.47937189565403</v>
      </c>
      <c r="I57">
        <v>8714.0040000000008</v>
      </c>
      <c r="J57">
        <v>0</v>
      </c>
      <c r="K57">
        <v>33.869999999999898</v>
      </c>
      <c r="L57">
        <v>33.869999999999898</v>
      </c>
      <c r="N57">
        <v>8714.0040000000008</v>
      </c>
      <c r="O57">
        <v>714637.60981634201</v>
      </c>
      <c r="P57">
        <v>42140.287931504798</v>
      </c>
      <c r="Q57">
        <v>756777.89774784702</v>
      </c>
      <c r="S57">
        <v>8714.0040000000008</v>
      </c>
      <c r="T57">
        <v>48066.204697897701</v>
      </c>
      <c r="V57">
        <v>8714.0040000000008</v>
      </c>
      <c r="W57">
        <v>117779.914364931</v>
      </c>
      <c r="Y57">
        <v>8714.0040000000008</v>
      </c>
      <c r="Z57">
        <v>4.9591528283689801</v>
      </c>
    </row>
    <row r="58" spans="6:26" x14ac:dyDescent="0.25">
      <c r="F58">
        <v>8716</v>
      </c>
      <c r="G58">
        <v>675.47937189565403</v>
      </c>
      <c r="I58">
        <v>8715.0040000000008</v>
      </c>
      <c r="J58">
        <v>0</v>
      </c>
      <c r="K58">
        <v>31.6299999999999</v>
      </c>
      <c r="L58">
        <v>31.6299999999999</v>
      </c>
      <c r="N58">
        <v>8715.0040000000008</v>
      </c>
      <c r="O58">
        <v>714670.40781634196</v>
      </c>
      <c r="P58">
        <v>42145.123931504801</v>
      </c>
      <c r="Q58">
        <v>756815.53174784698</v>
      </c>
      <c r="S58">
        <v>8715.0040000000008</v>
      </c>
      <c r="T58">
        <v>48066.204697897701</v>
      </c>
      <c r="V58">
        <v>8715.0040000000008</v>
      </c>
      <c r="W58">
        <v>117785.048364931</v>
      </c>
      <c r="Y58">
        <v>8715.0040000000008</v>
      </c>
      <c r="Z58">
        <v>5.1341528283689799</v>
      </c>
    </row>
    <row r="59" spans="6:26" x14ac:dyDescent="0.25">
      <c r="F59">
        <v>8717</v>
      </c>
      <c r="G59">
        <v>675.47937189565403</v>
      </c>
      <c r="I59">
        <v>8716.0040000000008</v>
      </c>
      <c r="J59">
        <v>0</v>
      </c>
      <c r="K59">
        <v>31.049999999999901</v>
      </c>
      <c r="L59">
        <v>31.049999999999901</v>
      </c>
      <c r="N59">
        <v>8716.0040000000008</v>
      </c>
      <c r="O59">
        <v>714702.88281634205</v>
      </c>
      <c r="P59">
        <v>42149.9589315048</v>
      </c>
      <c r="Q59">
        <v>756852.84174784704</v>
      </c>
      <c r="S59">
        <v>8716.0040000000008</v>
      </c>
      <c r="T59">
        <v>48066.204697897701</v>
      </c>
      <c r="V59">
        <v>8716.0040000000008</v>
      </c>
      <c r="W59">
        <v>117789.451364931</v>
      </c>
      <c r="Y59">
        <v>8716.0040000000008</v>
      </c>
      <c r="Z59">
        <v>4.40315282836898</v>
      </c>
    </row>
    <row r="60" spans="6:26" x14ac:dyDescent="0.25">
      <c r="F60">
        <v>8718</v>
      </c>
      <c r="G60">
        <v>675.47937189565403</v>
      </c>
      <c r="I60">
        <v>8717.0040000000008</v>
      </c>
      <c r="J60">
        <v>0</v>
      </c>
      <c r="K60">
        <v>33.509999999999899</v>
      </c>
      <c r="L60">
        <v>33.509999999999899</v>
      </c>
      <c r="N60">
        <v>8717.0040000000008</v>
      </c>
      <c r="O60">
        <v>714738.65581634198</v>
      </c>
      <c r="P60">
        <v>42154.793931504799</v>
      </c>
      <c r="Q60">
        <v>756893.44974784704</v>
      </c>
      <c r="S60">
        <v>8717.0040000000008</v>
      </c>
      <c r="T60">
        <v>48066.204697897701</v>
      </c>
      <c r="V60">
        <v>8717.0040000000008</v>
      </c>
      <c r="W60">
        <v>117793.99936493101</v>
      </c>
      <c r="Y60">
        <v>8717.0040000000008</v>
      </c>
      <c r="Z60">
        <v>4.5481528283689796</v>
      </c>
    </row>
    <row r="61" spans="6:26" x14ac:dyDescent="0.25">
      <c r="F61">
        <v>8719</v>
      </c>
      <c r="G61">
        <v>675.47937189565403</v>
      </c>
      <c r="I61">
        <v>8718.0040000000008</v>
      </c>
      <c r="J61">
        <v>0</v>
      </c>
      <c r="K61">
        <v>41.019999999999897</v>
      </c>
      <c r="L61">
        <v>41.019999999999897</v>
      </c>
      <c r="N61">
        <v>8718.0040000000008</v>
      </c>
      <c r="O61">
        <v>714782.90481634205</v>
      </c>
      <c r="P61">
        <v>42159.629931504802</v>
      </c>
      <c r="Q61">
        <v>756942.53474784701</v>
      </c>
      <c r="S61">
        <v>8718.0040000000008</v>
      </c>
      <c r="T61">
        <v>48066.204697897701</v>
      </c>
      <c r="V61">
        <v>8718.0040000000008</v>
      </c>
      <c r="W61">
        <v>117800.146364931</v>
      </c>
      <c r="Y61">
        <v>8718.0040000000008</v>
      </c>
      <c r="Z61">
        <v>6.1471528283689798</v>
      </c>
    </row>
    <row r="62" spans="6:26" x14ac:dyDescent="0.25">
      <c r="F62">
        <v>8720</v>
      </c>
      <c r="G62">
        <v>675.47937189565403</v>
      </c>
      <c r="I62">
        <v>8719.0040000000008</v>
      </c>
      <c r="J62">
        <v>0</v>
      </c>
      <c r="K62">
        <v>47.339999999999897</v>
      </c>
      <c r="L62">
        <v>47.339999999999897</v>
      </c>
      <c r="N62">
        <v>8719.0040000000008</v>
      </c>
      <c r="O62">
        <v>714833.90081634198</v>
      </c>
      <c r="P62">
        <v>42164.464931504801</v>
      </c>
      <c r="Q62">
        <v>756998.36574784701</v>
      </c>
      <c r="S62">
        <v>8719.0040000000008</v>
      </c>
      <c r="T62">
        <v>48066.204697897701</v>
      </c>
      <c r="V62">
        <v>8719.0040000000008</v>
      </c>
      <c r="W62">
        <v>117808.838364931</v>
      </c>
      <c r="Y62">
        <v>8719.0040000000008</v>
      </c>
      <c r="Z62">
        <v>8.6921528283689806</v>
      </c>
    </row>
    <row r="63" spans="6:26" x14ac:dyDescent="0.25">
      <c r="F63">
        <v>8721</v>
      </c>
      <c r="G63">
        <v>675.47937189565403</v>
      </c>
      <c r="I63">
        <v>8720.0040000000008</v>
      </c>
      <c r="J63">
        <v>6.0000000000000001E-3</v>
      </c>
      <c r="K63">
        <v>61.1039999999999</v>
      </c>
      <c r="L63">
        <v>61.1099999999999</v>
      </c>
      <c r="N63">
        <v>8720.0040000000008</v>
      </c>
      <c r="O63">
        <v>714900.08781634201</v>
      </c>
      <c r="P63">
        <v>42169.2999315048</v>
      </c>
      <c r="Q63">
        <v>757069.38874784706</v>
      </c>
      <c r="S63">
        <v>8720.0040000000008</v>
      </c>
      <c r="T63">
        <v>48066.204697897701</v>
      </c>
      <c r="V63">
        <v>8720.0040000000008</v>
      </c>
      <c r="W63">
        <v>117821.669364931</v>
      </c>
      <c r="Y63">
        <v>8720.0040000000008</v>
      </c>
      <c r="Z63">
        <v>12.8311528283689</v>
      </c>
    </row>
    <row r="64" spans="6:26" x14ac:dyDescent="0.25">
      <c r="F64">
        <v>8722</v>
      </c>
      <c r="G64">
        <v>675.48937189565402</v>
      </c>
      <c r="I64">
        <v>8721.0040000000008</v>
      </c>
      <c r="J64">
        <v>0.626</v>
      </c>
      <c r="K64">
        <v>66.273999999999901</v>
      </c>
      <c r="L64">
        <v>66.899999999999906</v>
      </c>
      <c r="N64">
        <v>8721.0040000000008</v>
      </c>
      <c r="O64">
        <v>714972.46881634195</v>
      </c>
      <c r="P64">
        <v>42174.135931504803</v>
      </c>
      <c r="Q64">
        <v>757146.60474784696</v>
      </c>
      <c r="S64">
        <v>8721.0040000000008</v>
      </c>
      <c r="T64">
        <v>48066.204697897701</v>
      </c>
      <c r="V64">
        <v>8721.0040000000008</v>
      </c>
      <c r="W64">
        <v>117835.49936493101</v>
      </c>
      <c r="Y64">
        <v>8721.0040000000008</v>
      </c>
      <c r="Z64">
        <v>13.830152828368901</v>
      </c>
    </row>
    <row r="65" spans="6:26" x14ac:dyDescent="0.25">
      <c r="F65">
        <v>8723</v>
      </c>
      <c r="G65">
        <v>675.52737189565403</v>
      </c>
      <c r="I65">
        <v>8722.0040000000008</v>
      </c>
      <c r="J65">
        <v>2.4449999999999998</v>
      </c>
      <c r="K65">
        <v>60.764999999999901</v>
      </c>
      <c r="L65">
        <v>63.209999999999901</v>
      </c>
      <c r="N65">
        <v>8722.0040000000008</v>
      </c>
      <c r="O65">
        <v>715038.85181634198</v>
      </c>
      <c r="P65">
        <v>42178.970931504802</v>
      </c>
      <c r="Q65">
        <v>757217.82274784695</v>
      </c>
      <c r="S65">
        <v>8722.0040000000008</v>
      </c>
      <c r="T65">
        <v>48066.211697897699</v>
      </c>
      <c r="V65">
        <v>8722.0040000000008</v>
      </c>
      <c r="W65">
        <v>117847.915364931</v>
      </c>
      <c r="Y65">
        <v>8722.0040000000008</v>
      </c>
      <c r="Z65">
        <v>12.4151528283689</v>
      </c>
    </row>
    <row r="66" spans="6:26" x14ac:dyDescent="0.25">
      <c r="F66">
        <v>8724</v>
      </c>
      <c r="G66">
        <v>675.58837189565395</v>
      </c>
      <c r="I66">
        <v>8723.0040000000008</v>
      </c>
      <c r="J66">
        <v>3.9750000000000001</v>
      </c>
      <c r="K66">
        <v>60.184999999999903</v>
      </c>
      <c r="L66">
        <v>64.159999999999897</v>
      </c>
      <c r="N66">
        <v>8723.0040000000008</v>
      </c>
      <c r="O66">
        <v>715104.68881634204</v>
      </c>
      <c r="P66">
        <v>42183.806931504798</v>
      </c>
      <c r="Q66">
        <v>757288.49574784702</v>
      </c>
      <c r="S66">
        <v>8723.0040000000008</v>
      </c>
      <c r="T66">
        <v>48066.2346978977</v>
      </c>
      <c r="V66">
        <v>8723.0040000000008</v>
      </c>
      <c r="W66">
        <v>117860.489364931</v>
      </c>
      <c r="Y66">
        <v>8723.0040000000008</v>
      </c>
      <c r="Z66">
        <v>12.5741528283689</v>
      </c>
    </row>
    <row r="67" spans="6:26" x14ac:dyDescent="0.25">
      <c r="F67">
        <v>8725</v>
      </c>
      <c r="G67">
        <v>675.65437189565398</v>
      </c>
      <c r="I67">
        <v>8724.0040000000008</v>
      </c>
      <c r="J67">
        <v>4.2249999999999996</v>
      </c>
      <c r="K67">
        <v>58.964999999999897</v>
      </c>
      <c r="L67">
        <v>63.189999999999898</v>
      </c>
      <c r="N67">
        <v>8724.0040000000008</v>
      </c>
      <c r="O67">
        <v>715170.10381634196</v>
      </c>
      <c r="P67">
        <v>42188.641931504797</v>
      </c>
      <c r="Q67">
        <v>757358.74574784702</v>
      </c>
      <c r="S67">
        <v>8724.0040000000008</v>
      </c>
      <c r="T67">
        <v>48066.252697897697</v>
      </c>
      <c r="V67">
        <v>8724.0040000000008</v>
      </c>
      <c r="W67">
        <v>117873.201364931</v>
      </c>
      <c r="Y67">
        <v>8724.0040000000008</v>
      </c>
      <c r="Z67">
        <v>12.7121528283689</v>
      </c>
    </row>
    <row r="68" spans="6:26" x14ac:dyDescent="0.25">
      <c r="F68">
        <v>8726</v>
      </c>
      <c r="G68">
        <v>675.70737189565398</v>
      </c>
      <c r="I68">
        <v>8725.0040000000008</v>
      </c>
      <c r="J68">
        <v>3.581</v>
      </c>
      <c r="K68">
        <v>63.068999999999903</v>
      </c>
      <c r="L68">
        <v>66.649999999999906</v>
      </c>
      <c r="N68">
        <v>8725.0040000000008</v>
      </c>
      <c r="O68">
        <v>715240.22981634201</v>
      </c>
      <c r="P68">
        <v>42193.476931504803</v>
      </c>
      <c r="Q68">
        <v>757433.70674784703</v>
      </c>
      <c r="S68">
        <v>8725.0040000000008</v>
      </c>
      <c r="T68">
        <v>48066.261697897702</v>
      </c>
      <c r="V68">
        <v>8725.0040000000008</v>
      </c>
      <c r="W68">
        <v>117887.743364931</v>
      </c>
      <c r="Y68">
        <v>8725.0040000000008</v>
      </c>
      <c r="Z68">
        <v>14.541152828368901</v>
      </c>
    </row>
    <row r="69" spans="6:26" x14ac:dyDescent="0.25">
      <c r="F69">
        <v>8727</v>
      </c>
      <c r="G69">
        <v>675.73937189565402</v>
      </c>
      <c r="I69">
        <v>8726.0040000000008</v>
      </c>
      <c r="J69">
        <v>2.0059999999999998</v>
      </c>
      <c r="K69">
        <v>61.383999999999901</v>
      </c>
      <c r="L69">
        <v>63.389999999999901</v>
      </c>
      <c r="N69">
        <v>8726.0040000000008</v>
      </c>
      <c r="O69">
        <v>715308.82681634196</v>
      </c>
      <c r="P69">
        <v>42198.312931504799</v>
      </c>
      <c r="Q69">
        <v>757507.13974784699</v>
      </c>
      <c r="S69">
        <v>8726.0040000000008</v>
      </c>
      <c r="T69">
        <v>48066.261697897702</v>
      </c>
      <c r="V69">
        <v>8726.0040000000008</v>
      </c>
      <c r="W69">
        <v>117902.781364931</v>
      </c>
      <c r="Y69">
        <v>8726.0040000000008</v>
      </c>
      <c r="Z69">
        <v>15.038152828368901</v>
      </c>
    </row>
    <row r="70" spans="6:26" x14ac:dyDescent="0.25">
      <c r="F70">
        <v>8728</v>
      </c>
      <c r="G70">
        <v>675.74337189565495</v>
      </c>
      <c r="I70">
        <v>8727.0040000000008</v>
      </c>
      <c r="J70">
        <v>0.28499999999999998</v>
      </c>
      <c r="K70">
        <v>77.204999999999899</v>
      </c>
      <c r="L70">
        <v>77.489999999999895</v>
      </c>
      <c r="N70">
        <v>8727.0040000000008</v>
      </c>
      <c r="O70">
        <v>715394.35481634201</v>
      </c>
      <c r="P70">
        <v>42203.147931504798</v>
      </c>
      <c r="Q70">
        <v>757597.502747847</v>
      </c>
      <c r="S70">
        <v>8727.0040000000008</v>
      </c>
      <c r="T70">
        <v>48066.261697897702</v>
      </c>
      <c r="V70">
        <v>8727.0040000000008</v>
      </c>
      <c r="W70">
        <v>117924.547364931</v>
      </c>
      <c r="Y70">
        <v>8727.0040000000008</v>
      </c>
      <c r="Z70">
        <v>21.766152828368899</v>
      </c>
    </row>
    <row r="71" spans="6:26" x14ac:dyDescent="0.25">
      <c r="F71">
        <v>8729</v>
      </c>
      <c r="G71">
        <v>675.74337189565495</v>
      </c>
      <c r="I71">
        <v>8728.0040000000008</v>
      </c>
      <c r="J71">
        <v>2E-3</v>
      </c>
      <c r="K71">
        <v>84.707999999999899</v>
      </c>
      <c r="L71">
        <v>84.709999999999894</v>
      </c>
      <c r="N71">
        <v>8728.0040000000008</v>
      </c>
      <c r="O71">
        <v>715493.69281634199</v>
      </c>
      <c r="P71">
        <v>42207.982931504797</v>
      </c>
      <c r="Q71">
        <v>757701.676747847</v>
      </c>
      <c r="S71">
        <v>8728.0040000000008</v>
      </c>
      <c r="T71">
        <v>48066.261697897702</v>
      </c>
      <c r="V71">
        <v>8728.0040000000008</v>
      </c>
      <c r="W71">
        <v>117949.85936493101</v>
      </c>
      <c r="Y71">
        <v>8728.0040000000008</v>
      </c>
      <c r="Z71">
        <v>25.313152828368899</v>
      </c>
    </row>
    <row r="72" spans="6:26" x14ac:dyDescent="0.25">
      <c r="F72">
        <v>8730</v>
      </c>
      <c r="G72">
        <v>675.74337189565495</v>
      </c>
      <c r="I72">
        <v>8729.0040000000008</v>
      </c>
      <c r="J72">
        <v>0</v>
      </c>
      <c r="K72">
        <v>108.789999999999</v>
      </c>
      <c r="L72">
        <v>108.789999999999</v>
      </c>
      <c r="N72">
        <v>8729.0040000000008</v>
      </c>
      <c r="O72">
        <v>715627.76481634204</v>
      </c>
      <c r="P72">
        <v>42212.8189315048</v>
      </c>
      <c r="Q72">
        <v>757840.58374784701</v>
      </c>
      <c r="S72">
        <v>8729.0040000000008</v>
      </c>
      <c r="T72">
        <v>48066.261697897702</v>
      </c>
      <c r="V72">
        <v>8729.0040000000008</v>
      </c>
      <c r="W72">
        <v>117984.097364931</v>
      </c>
      <c r="Y72">
        <v>8729.0040000000008</v>
      </c>
      <c r="Z72">
        <v>34.238152828368897</v>
      </c>
    </row>
    <row r="73" spans="6:26" x14ac:dyDescent="0.25">
      <c r="F73">
        <v>8731</v>
      </c>
      <c r="G73">
        <v>675.74337189565495</v>
      </c>
      <c r="I73">
        <v>8730.0040000000008</v>
      </c>
      <c r="J73">
        <v>0</v>
      </c>
      <c r="K73">
        <v>105.819999999999</v>
      </c>
      <c r="L73">
        <v>105.819999999999</v>
      </c>
      <c r="N73">
        <v>8730.0040000000008</v>
      </c>
      <c r="O73">
        <v>715755.33481634199</v>
      </c>
      <c r="P73">
        <v>42217.653931504799</v>
      </c>
      <c r="Q73">
        <v>757972.98874784703</v>
      </c>
      <c r="S73">
        <v>8730.0040000000008</v>
      </c>
      <c r="T73">
        <v>48066.261697897702</v>
      </c>
      <c r="V73">
        <v>8730.0040000000008</v>
      </c>
      <c r="W73">
        <v>118015.917364931</v>
      </c>
      <c r="Y73">
        <v>8730.0040000000008</v>
      </c>
      <c r="Z73">
        <v>31.8191528283689</v>
      </c>
    </row>
    <row r="74" spans="6:26" x14ac:dyDescent="0.25">
      <c r="F74">
        <v>8732</v>
      </c>
      <c r="G74">
        <v>675.74337189565495</v>
      </c>
      <c r="I74">
        <v>8731.0040000000008</v>
      </c>
      <c r="J74">
        <v>0</v>
      </c>
      <c r="K74">
        <v>88.809999999999903</v>
      </c>
      <c r="L74">
        <v>88.809999999999903</v>
      </c>
      <c r="N74">
        <v>8731.0040000000008</v>
      </c>
      <c r="O74">
        <v>715861.00681634201</v>
      </c>
      <c r="P74">
        <v>42222.489931504802</v>
      </c>
      <c r="Q74">
        <v>758083.49674784695</v>
      </c>
      <c r="S74">
        <v>8731.0040000000008</v>
      </c>
      <c r="T74">
        <v>48066.261697897702</v>
      </c>
      <c r="V74">
        <v>8731.0040000000008</v>
      </c>
      <c r="W74">
        <v>118041.10636493099</v>
      </c>
      <c r="Y74">
        <v>8731.0040000000008</v>
      </c>
      <c r="Z74">
        <v>25.189152828368901</v>
      </c>
    </row>
    <row r="75" spans="6:26" x14ac:dyDescent="0.25">
      <c r="F75">
        <v>8733</v>
      </c>
      <c r="G75">
        <v>675.74337189565495</v>
      </c>
      <c r="I75">
        <v>8732.0040000000008</v>
      </c>
      <c r="J75">
        <v>0</v>
      </c>
      <c r="K75">
        <v>89.599999999999895</v>
      </c>
      <c r="L75">
        <v>89.599999999999895</v>
      </c>
      <c r="N75">
        <v>8732.0040000000008</v>
      </c>
      <c r="O75">
        <v>715967.41881634202</v>
      </c>
      <c r="P75">
        <v>42227.324931504801</v>
      </c>
      <c r="Q75">
        <v>758194.74374784704</v>
      </c>
      <c r="S75">
        <v>8732.0040000000008</v>
      </c>
      <c r="T75">
        <v>48066.261697897702</v>
      </c>
      <c r="V75">
        <v>8732.0040000000008</v>
      </c>
      <c r="W75">
        <v>118061.956364931</v>
      </c>
      <c r="Y75">
        <v>8732.0040000000008</v>
      </c>
      <c r="Z75">
        <v>20.850152828368898</v>
      </c>
    </row>
    <row r="76" spans="6:26" x14ac:dyDescent="0.25">
      <c r="F76">
        <v>8734</v>
      </c>
      <c r="G76">
        <v>675.74337189565495</v>
      </c>
      <c r="I76">
        <v>8733.0040000000008</v>
      </c>
      <c r="J76">
        <v>0</v>
      </c>
      <c r="K76">
        <v>83.809999999999903</v>
      </c>
      <c r="L76">
        <v>83.809999999999903</v>
      </c>
      <c r="N76">
        <v>8733.0040000000008</v>
      </c>
      <c r="O76">
        <v>716067.26681634202</v>
      </c>
      <c r="P76">
        <v>42232.159931504801</v>
      </c>
      <c r="Q76">
        <v>758299.426747847</v>
      </c>
      <c r="S76">
        <v>8733.0040000000008</v>
      </c>
      <c r="T76">
        <v>48066.261697897702</v>
      </c>
      <c r="V76">
        <v>8733.0040000000008</v>
      </c>
      <c r="W76">
        <v>118081.673364931</v>
      </c>
      <c r="Y76">
        <v>8733.0040000000008</v>
      </c>
      <c r="Z76">
        <v>19.716152828368902</v>
      </c>
    </row>
    <row r="77" spans="6:26" x14ac:dyDescent="0.25">
      <c r="F77">
        <v>8735</v>
      </c>
      <c r="G77">
        <v>675.74337189565495</v>
      </c>
      <c r="I77">
        <v>8734.0040000000008</v>
      </c>
      <c r="J77">
        <v>0</v>
      </c>
      <c r="K77">
        <v>71.009999999999906</v>
      </c>
      <c r="L77">
        <v>71.009999999999906</v>
      </c>
      <c r="N77">
        <v>8734.0040000000008</v>
      </c>
      <c r="O77">
        <v>716146.09181634197</v>
      </c>
      <c r="P77">
        <v>42236.995931504804</v>
      </c>
      <c r="Q77">
        <v>758383.08674784703</v>
      </c>
      <c r="S77">
        <v>8734.0040000000008</v>
      </c>
      <c r="T77">
        <v>48066.261697897702</v>
      </c>
      <c r="V77">
        <v>8734.0040000000008</v>
      </c>
      <c r="W77">
        <v>118096.31036493101</v>
      </c>
      <c r="Y77">
        <v>8734.0040000000008</v>
      </c>
      <c r="Z77">
        <v>14.637152828368899</v>
      </c>
    </row>
    <row r="78" spans="6:26" x14ac:dyDescent="0.25">
      <c r="F78">
        <v>8736</v>
      </c>
      <c r="G78">
        <v>675.74337189565495</v>
      </c>
      <c r="I78">
        <v>8735.0040000000008</v>
      </c>
      <c r="J78">
        <v>0</v>
      </c>
      <c r="K78">
        <v>58.649999999999899</v>
      </c>
      <c r="L78">
        <v>58.649999999999899</v>
      </c>
      <c r="N78">
        <v>8735.0040000000008</v>
      </c>
      <c r="O78">
        <v>716209.53281634196</v>
      </c>
      <c r="P78">
        <v>42241.830931504803</v>
      </c>
      <c r="Q78">
        <v>758451.36374784703</v>
      </c>
      <c r="S78">
        <v>8735.0040000000008</v>
      </c>
      <c r="T78">
        <v>48066.261697897702</v>
      </c>
      <c r="V78">
        <v>8735.0040000000008</v>
      </c>
      <c r="W78">
        <v>118108.440364931</v>
      </c>
      <c r="Y78">
        <v>8735.0040000000008</v>
      </c>
      <c r="Z78">
        <v>12.1301528283689</v>
      </c>
    </row>
    <row r="79" spans="6:26" x14ac:dyDescent="0.25">
      <c r="F79">
        <v>8737</v>
      </c>
      <c r="G79">
        <v>675.74337189565495</v>
      </c>
      <c r="I79">
        <v>8736.0040000000008</v>
      </c>
      <c r="J79">
        <v>0</v>
      </c>
      <c r="K79">
        <v>44.729999999999897</v>
      </c>
      <c r="L79">
        <v>44.729999999999897</v>
      </c>
      <c r="N79">
        <v>8736.0040000000008</v>
      </c>
      <c r="O79">
        <v>716259.719816342</v>
      </c>
      <c r="P79">
        <v>42246.665931504802</v>
      </c>
      <c r="Q79">
        <v>758506.38574784703</v>
      </c>
      <c r="S79">
        <v>8736.0040000000008</v>
      </c>
      <c r="T79">
        <v>48066.261697897702</v>
      </c>
      <c r="V79">
        <v>8736.0040000000008</v>
      </c>
      <c r="W79">
        <v>118116.997364931</v>
      </c>
      <c r="Y79">
        <v>8736.0040000000008</v>
      </c>
      <c r="Z79">
        <v>8.5571528283689808</v>
      </c>
    </row>
    <row r="80" spans="6:26" x14ac:dyDescent="0.25">
      <c r="F80">
        <v>8738</v>
      </c>
      <c r="G80">
        <v>675.74337189565495</v>
      </c>
      <c r="I80">
        <v>8737.0040000000008</v>
      </c>
      <c r="J80">
        <v>0</v>
      </c>
      <c r="K80">
        <v>36.5399999999999</v>
      </c>
      <c r="L80">
        <v>36.5399999999999</v>
      </c>
      <c r="N80">
        <v>8737.0040000000008</v>
      </c>
      <c r="O80">
        <v>716298.91781634197</v>
      </c>
      <c r="P80">
        <v>42251.501931504798</v>
      </c>
      <c r="Q80">
        <v>758550.41974784702</v>
      </c>
      <c r="S80">
        <v>8737.0040000000008</v>
      </c>
      <c r="T80">
        <v>48066.261697897702</v>
      </c>
      <c r="V80">
        <v>8737.0040000000008</v>
      </c>
      <c r="W80">
        <v>118123.733364931</v>
      </c>
      <c r="Y80">
        <v>8737.0040000000008</v>
      </c>
      <c r="Z80">
        <v>6.7361528283689802</v>
      </c>
    </row>
    <row r="81" spans="6:26" x14ac:dyDescent="0.25">
      <c r="F81">
        <v>8739</v>
      </c>
      <c r="G81">
        <v>675.74337189565495</v>
      </c>
      <c r="I81">
        <v>8738.0040000000008</v>
      </c>
      <c r="J81">
        <v>0</v>
      </c>
      <c r="K81">
        <v>33.5399999999999</v>
      </c>
      <c r="L81">
        <v>33.5399999999999</v>
      </c>
      <c r="N81">
        <v>8738.0040000000008</v>
      </c>
      <c r="O81">
        <v>716333.996816342</v>
      </c>
      <c r="P81">
        <v>42256.336931504797</v>
      </c>
      <c r="Q81">
        <v>758590.33374784701</v>
      </c>
      <c r="S81">
        <v>8738.0040000000008</v>
      </c>
      <c r="T81">
        <v>48066.261697897702</v>
      </c>
      <c r="V81">
        <v>8738.0040000000008</v>
      </c>
      <c r="W81">
        <v>118129.974364931</v>
      </c>
      <c r="Y81">
        <v>8738.0040000000008</v>
      </c>
      <c r="Z81">
        <v>6.2411528283689801</v>
      </c>
    </row>
    <row r="82" spans="6:26" x14ac:dyDescent="0.25">
      <c r="F82">
        <v>8740</v>
      </c>
      <c r="G82">
        <v>675.74337189565495</v>
      </c>
      <c r="I82">
        <v>8739.0040000000008</v>
      </c>
      <c r="J82">
        <v>0</v>
      </c>
      <c r="K82">
        <v>29.5199999999999</v>
      </c>
      <c r="L82">
        <v>29.5199999999999</v>
      </c>
      <c r="N82">
        <v>8739.0040000000008</v>
      </c>
      <c r="O82">
        <v>716364.871816342</v>
      </c>
      <c r="P82">
        <v>42261.1729315048</v>
      </c>
      <c r="Q82">
        <v>758626.04374784697</v>
      </c>
      <c r="S82">
        <v>8739.0040000000008</v>
      </c>
      <c r="T82">
        <v>48066.261697897702</v>
      </c>
      <c r="V82">
        <v>8739.0040000000008</v>
      </c>
      <c r="W82">
        <v>118135.44636493101</v>
      </c>
      <c r="Y82">
        <v>8739.0040000000008</v>
      </c>
      <c r="Z82">
        <v>5.4711528283689796</v>
      </c>
    </row>
    <row r="83" spans="6:26" x14ac:dyDescent="0.25">
      <c r="F83">
        <v>8741</v>
      </c>
      <c r="G83">
        <v>675.74337189565495</v>
      </c>
      <c r="I83">
        <v>8740.0040000000008</v>
      </c>
      <c r="J83">
        <v>0</v>
      </c>
      <c r="K83">
        <v>28.959999999999901</v>
      </c>
      <c r="L83">
        <v>28.959999999999901</v>
      </c>
      <c r="N83">
        <v>8740.0040000000008</v>
      </c>
      <c r="O83">
        <v>716396.67281634198</v>
      </c>
      <c r="P83">
        <v>42266.007931504799</v>
      </c>
      <c r="Q83">
        <v>758662.68074784696</v>
      </c>
      <c r="S83">
        <v>8740.0040000000008</v>
      </c>
      <c r="T83">
        <v>48066.261697897702</v>
      </c>
      <c r="V83">
        <v>8740.0040000000008</v>
      </c>
      <c r="W83">
        <v>118140.725364931</v>
      </c>
      <c r="Y83">
        <v>8740.0040000000008</v>
      </c>
      <c r="Z83">
        <v>5.2791528283689804</v>
      </c>
    </row>
    <row r="84" spans="6:26" x14ac:dyDescent="0.25">
      <c r="F84">
        <v>8742</v>
      </c>
      <c r="G84">
        <v>675.74337189565495</v>
      </c>
      <c r="I84">
        <v>8741.0040000000008</v>
      </c>
      <c r="J84">
        <v>0</v>
      </c>
      <c r="K84">
        <v>30.899999999999899</v>
      </c>
      <c r="L84">
        <v>30.899999999999899</v>
      </c>
      <c r="N84">
        <v>8741.0040000000008</v>
      </c>
      <c r="O84">
        <v>716431.08881634194</v>
      </c>
      <c r="P84">
        <v>42270.842931504798</v>
      </c>
      <c r="Q84">
        <v>758701.931747847</v>
      </c>
      <c r="S84">
        <v>8741.0040000000008</v>
      </c>
      <c r="T84">
        <v>48066.261697897702</v>
      </c>
      <c r="V84">
        <v>8741.0040000000008</v>
      </c>
      <c r="W84">
        <v>118146.368364931</v>
      </c>
      <c r="Y84">
        <v>8741.0040000000008</v>
      </c>
      <c r="Z84">
        <v>5.6431528283689802</v>
      </c>
    </row>
    <row r="85" spans="6:26" x14ac:dyDescent="0.25">
      <c r="F85">
        <v>8743</v>
      </c>
      <c r="G85">
        <v>675.74337189565495</v>
      </c>
      <c r="I85">
        <v>8742.0040000000008</v>
      </c>
      <c r="J85">
        <v>0</v>
      </c>
      <c r="K85">
        <v>36.909999999999897</v>
      </c>
      <c r="L85">
        <v>36.909999999999897</v>
      </c>
      <c r="N85">
        <v>8742.0040000000008</v>
      </c>
      <c r="O85">
        <v>716473.62981634203</v>
      </c>
      <c r="P85">
        <v>42275.678931504801</v>
      </c>
      <c r="Q85">
        <v>758749.30874784698</v>
      </c>
      <c r="S85">
        <v>8742.0040000000008</v>
      </c>
      <c r="T85">
        <v>48066.261697897702</v>
      </c>
      <c r="V85">
        <v>8742.0040000000008</v>
      </c>
      <c r="W85">
        <v>118153.169364931</v>
      </c>
      <c r="Y85">
        <v>8742.0040000000008</v>
      </c>
      <c r="Z85">
        <v>6.8011528283689797</v>
      </c>
    </row>
    <row r="86" spans="6:26" x14ac:dyDescent="0.25">
      <c r="F86">
        <v>8744</v>
      </c>
      <c r="G86">
        <v>675.74337189565495</v>
      </c>
      <c r="I86">
        <v>8743.0040000000008</v>
      </c>
      <c r="J86">
        <v>0</v>
      </c>
      <c r="K86">
        <v>45.229999999999897</v>
      </c>
      <c r="L86">
        <v>45.229999999999897</v>
      </c>
      <c r="N86">
        <v>8743.0040000000008</v>
      </c>
      <c r="O86">
        <v>716527.54881634202</v>
      </c>
      <c r="P86">
        <v>42280.5139315048</v>
      </c>
      <c r="Q86">
        <v>758808.06274784706</v>
      </c>
      <c r="S86">
        <v>8743.0040000000008</v>
      </c>
      <c r="T86">
        <v>48066.261697897702</v>
      </c>
      <c r="V86">
        <v>8743.0040000000008</v>
      </c>
      <c r="W86">
        <v>118161.78436493099</v>
      </c>
      <c r="Y86">
        <v>8743.0040000000008</v>
      </c>
      <c r="Z86">
        <v>8.6151528283689807</v>
      </c>
    </row>
    <row r="87" spans="6:26" x14ac:dyDescent="0.25">
      <c r="F87">
        <v>8745</v>
      </c>
      <c r="G87">
        <v>675.74337189565495</v>
      </c>
      <c r="I87">
        <v>8744.0040000000008</v>
      </c>
      <c r="J87">
        <v>0</v>
      </c>
      <c r="K87">
        <v>56.329999999999899</v>
      </c>
      <c r="L87">
        <v>56.329999999999899</v>
      </c>
      <c r="N87">
        <v>8744.0040000000008</v>
      </c>
      <c r="O87">
        <v>716596.75981634203</v>
      </c>
      <c r="P87">
        <v>42285.348931504799</v>
      </c>
      <c r="Q87">
        <v>758882.10874784703</v>
      </c>
      <c r="S87">
        <v>8744.0040000000008</v>
      </c>
      <c r="T87">
        <v>48066.261697897702</v>
      </c>
      <c r="V87">
        <v>8744.0040000000008</v>
      </c>
      <c r="W87">
        <v>118174.216364931</v>
      </c>
      <c r="Y87">
        <v>8744.0040000000008</v>
      </c>
      <c r="Z87">
        <v>12.432152828368899</v>
      </c>
    </row>
    <row r="88" spans="6:26" x14ac:dyDescent="0.25">
      <c r="F88">
        <v>8746</v>
      </c>
      <c r="G88">
        <v>675.74337189565495</v>
      </c>
      <c r="I88">
        <v>8745.0040000000008</v>
      </c>
      <c r="J88">
        <v>0</v>
      </c>
      <c r="K88">
        <v>59.309999999999903</v>
      </c>
      <c r="L88">
        <v>59.309999999999903</v>
      </c>
      <c r="N88">
        <v>8745.0040000000008</v>
      </c>
      <c r="O88">
        <v>716669.76381634199</v>
      </c>
      <c r="P88">
        <v>42290.184931504802</v>
      </c>
      <c r="Q88">
        <v>758959.948747847</v>
      </c>
      <c r="S88">
        <v>8745.0040000000008</v>
      </c>
      <c r="T88">
        <v>48066.261697897702</v>
      </c>
      <c r="V88">
        <v>8745.0040000000008</v>
      </c>
      <c r="W88">
        <v>118187.55636493101</v>
      </c>
      <c r="Y88">
        <v>8745.0040000000008</v>
      </c>
      <c r="Z88">
        <v>13.3401528283689</v>
      </c>
    </row>
    <row r="89" spans="6:26" x14ac:dyDescent="0.25">
      <c r="F89">
        <v>8747</v>
      </c>
      <c r="G89">
        <v>675.74337189565495</v>
      </c>
      <c r="I89">
        <v>8746.0040000000008</v>
      </c>
      <c r="J89">
        <v>0</v>
      </c>
      <c r="K89">
        <v>58.819999999999901</v>
      </c>
      <c r="L89">
        <v>58.819999999999901</v>
      </c>
      <c r="N89">
        <v>8746.0040000000008</v>
      </c>
      <c r="O89">
        <v>716742.69281634199</v>
      </c>
      <c r="P89">
        <v>42295.019931504801</v>
      </c>
      <c r="Q89">
        <v>759037.71274784696</v>
      </c>
      <c r="S89">
        <v>8746.0040000000008</v>
      </c>
      <c r="T89">
        <v>48066.261697897702</v>
      </c>
      <c r="V89">
        <v>8746.0040000000008</v>
      </c>
      <c r="W89">
        <v>118200.53436493099</v>
      </c>
      <c r="Y89">
        <v>8746.0040000000008</v>
      </c>
      <c r="Z89">
        <v>12.977152828368901</v>
      </c>
    </row>
    <row r="90" spans="6:26" x14ac:dyDescent="0.25">
      <c r="F90">
        <v>8748</v>
      </c>
      <c r="G90">
        <v>675.74337189565495</v>
      </c>
      <c r="I90">
        <v>8747.0040000000008</v>
      </c>
      <c r="J90">
        <v>0</v>
      </c>
      <c r="K90">
        <v>63.279999999999902</v>
      </c>
      <c r="L90">
        <v>63.279999999999902</v>
      </c>
      <c r="N90">
        <v>8747.0040000000008</v>
      </c>
      <c r="O90">
        <v>716820.63081634196</v>
      </c>
      <c r="P90">
        <v>42299.855931504797</v>
      </c>
      <c r="Q90">
        <v>759120.48674784706</v>
      </c>
      <c r="S90">
        <v>8747.0040000000008</v>
      </c>
      <c r="T90">
        <v>48066.261697897702</v>
      </c>
      <c r="V90">
        <v>8747.0040000000008</v>
      </c>
      <c r="W90">
        <v>118214.54136493101</v>
      </c>
      <c r="Y90">
        <v>8747.0040000000008</v>
      </c>
      <c r="Z90">
        <v>14.0071528283689</v>
      </c>
    </row>
    <row r="91" spans="6:26" x14ac:dyDescent="0.25">
      <c r="F91">
        <v>8749</v>
      </c>
      <c r="G91">
        <v>675.82137189565401</v>
      </c>
      <c r="I91">
        <v>8748.0040000000008</v>
      </c>
      <c r="J91">
        <v>5.8170000000000002</v>
      </c>
      <c r="K91">
        <v>62.442999999999898</v>
      </c>
      <c r="L91">
        <v>68.259999999999906</v>
      </c>
      <c r="N91">
        <v>8748.0040000000008</v>
      </c>
      <c r="O91">
        <v>716897.21181634197</v>
      </c>
      <c r="P91">
        <v>42304.690931504803</v>
      </c>
      <c r="Q91">
        <v>759201.90274784702</v>
      </c>
      <c r="S91">
        <v>8748.0040000000008</v>
      </c>
      <c r="T91">
        <v>48066.418697897701</v>
      </c>
      <c r="V91">
        <v>8748.0040000000008</v>
      </c>
      <c r="W91">
        <v>118228.191364931</v>
      </c>
      <c r="Y91">
        <v>8748.0040000000008</v>
      </c>
      <c r="Z91">
        <v>13.650152828368901</v>
      </c>
    </row>
    <row r="92" spans="6:26" x14ac:dyDescent="0.25">
      <c r="F92">
        <v>8750</v>
      </c>
      <c r="G92">
        <v>675.86537189565399</v>
      </c>
      <c r="I92">
        <v>8749.0040000000008</v>
      </c>
      <c r="J92">
        <v>2.9529999999999998</v>
      </c>
      <c r="K92">
        <v>65.016999999999896</v>
      </c>
      <c r="L92">
        <v>67.969999999999899</v>
      </c>
      <c r="N92">
        <v>8749.0040000000008</v>
      </c>
      <c r="O92">
        <v>716976.07681634196</v>
      </c>
      <c r="P92">
        <v>42309.525931504802</v>
      </c>
      <c r="Q92">
        <v>759285.60374784702</v>
      </c>
      <c r="S92">
        <v>8749.0040000000008</v>
      </c>
      <c r="T92">
        <v>48066.418697897701</v>
      </c>
      <c r="V92">
        <v>8749.0040000000008</v>
      </c>
      <c r="W92">
        <v>118241.971364931</v>
      </c>
      <c r="Y92">
        <v>8749.0040000000008</v>
      </c>
      <c r="Z92">
        <v>13.7801528283689</v>
      </c>
    </row>
    <row r="93" spans="6:26" x14ac:dyDescent="0.25">
      <c r="F93">
        <v>8751</v>
      </c>
      <c r="G93">
        <v>675.92637189565403</v>
      </c>
      <c r="I93">
        <v>8750.0040000000008</v>
      </c>
      <c r="J93">
        <v>4.3789999999999996</v>
      </c>
      <c r="K93">
        <v>66.070999999999898</v>
      </c>
      <c r="L93">
        <v>70.449999999999903</v>
      </c>
      <c r="N93">
        <v>8750.0040000000008</v>
      </c>
      <c r="O93">
        <v>717056.17981634196</v>
      </c>
      <c r="P93">
        <v>42314.361931504798</v>
      </c>
      <c r="Q93">
        <v>759370.54174784699</v>
      </c>
      <c r="S93">
        <v>8750.0040000000008</v>
      </c>
      <c r="T93">
        <v>48066.439697897702</v>
      </c>
      <c r="V93">
        <v>8750.0040000000008</v>
      </c>
      <c r="W93">
        <v>118255.910364931</v>
      </c>
      <c r="Y93">
        <v>8750.0040000000008</v>
      </c>
      <c r="Z93">
        <v>13.939152828368901</v>
      </c>
    </row>
    <row r="94" spans="6:26" x14ac:dyDescent="0.25">
      <c r="F94">
        <v>8752</v>
      </c>
      <c r="G94">
        <v>675.97937189565403</v>
      </c>
      <c r="I94">
        <v>8751.0040000000008</v>
      </c>
      <c r="J94">
        <v>3.97</v>
      </c>
      <c r="K94">
        <v>70.679999999999893</v>
      </c>
      <c r="L94">
        <v>74.649999999999906</v>
      </c>
      <c r="N94">
        <v>8751.0040000000008</v>
      </c>
      <c r="O94">
        <v>717142.98181634198</v>
      </c>
      <c r="P94">
        <v>42319.196931504797</v>
      </c>
      <c r="Q94">
        <v>759462.17974784703</v>
      </c>
      <c r="S94">
        <v>8751.0040000000008</v>
      </c>
      <c r="T94">
        <v>48066.464697897703</v>
      </c>
      <c r="V94">
        <v>8751.0040000000008</v>
      </c>
      <c r="W94">
        <v>118269.736364931</v>
      </c>
      <c r="Y94">
        <v>8751.0040000000008</v>
      </c>
      <c r="Z94">
        <v>13.826152828368899</v>
      </c>
    </row>
    <row r="95" spans="6:26" x14ac:dyDescent="0.25">
      <c r="F95">
        <v>8753</v>
      </c>
      <c r="G95">
        <v>676.02337189565401</v>
      </c>
      <c r="I95">
        <v>8752.0040000000008</v>
      </c>
      <c r="J95">
        <v>3.97</v>
      </c>
      <c r="K95">
        <v>84.999999999999901</v>
      </c>
      <c r="L95">
        <v>88.969999999999899</v>
      </c>
      <c r="N95">
        <v>8752.0040000000008</v>
      </c>
      <c r="O95">
        <v>717249.06781634199</v>
      </c>
      <c r="P95">
        <v>42324.031931504796</v>
      </c>
      <c r="Q95">
        <v>759573.09974784695</v>
      </c>
      <c r="S95">
        <v>8752.0040000000008</v>
      </c>
      <c r="T95">
        <v>48066.464697897703</v>
      </c>
      <c r="V95">
        <v>8752.0040000000008</v>
      </c>
      <c r="W95">
        <v>118286.360364931</v>
      </c>
      <c r="Y95">
        <v>8752.0040000000008</v>
      </c>
      <c r="Z95">
        <v>16.624152828368899</v>
      </c>
    </row>
    <row r="96" spans="6:26" x14ac:dyDescent="0.25">
      <c r="F96">
        <v>8754</v>
      </c>
      <c r="G96">
        <v>676.05937189565395</v>
      </c>
      <c r="I96">
        <v>8753.0040000000008</v>
      </c>
      <c r="J96">
        <v>3.97</v>
      </c>
      <c r="K96">
        <v>105.599999999999</v>
      </c>
      <c r="L96">
        <v>109.569999999999</v>
      </c>
      <c r="N96">
        <v>8753.0040000000008</v>
      </c>
      <c r="O96">
        <v>717381.04781634198</v>
      </c>
      <c r="P96">
        <v>42328.867931504799</v>
      </c>
      <c r="Q96">
        <v>759709.91474784701</v>
      </c>
      <c r="S96">
        <v>8753.0040000000008</v>
      </c>
      <c r="T96">
        <v>48066.474697897698</v>
      </c>
      <c r="V96">
        <v>8753.0040000000008</v>
      </c>
      <c r="W96">
        <v>118307.550364931</v>
      </c>
      <c r="Y96">
        <v>8753.0040000000008</v>
      </c>
      <c r="Z96">
        <v>21.190152828368898</v>
      </c>
    </row>
    <row r="97" spans="6:26" x14ac:dyDescent="0.25">
      <c r="F97">
        <v>8755</v>
      </c>
      <c r="G97">
        <v>676.09637189565399</v>
      </c>
      <c r="I97">
        <v>8754.0040000000008</v>
      </c>
      <c r="J97">
        <v>3.97</v>
      </c>
      <c r="K97">
        <v>104.259999999999</v>
      </c>
      <c r="L97">
        <v>108.229999999999</v>
      </c>
      <c r="N97">
        <v>8754.0040000000008</v>
      </c>
      <c r="O97">
        <v>717509.09581634204</v>
      </c>
      <c r="P97">
        <v>42333.702931504798</v>
      </c>
      <c r="Q97">
        <v>759842.79874784697</v>
      </c>
      <c r="S97">
        <v>8754.0040000000008</v>
      </c>
      <c r="T97">
        <v>48066.4846978977</v>
      </c>
      <c r="V97">
        <v>8754.0040000000008</v>
      </c>
      <c r="W97">
        <v>118327.702364931</v>
      </c>
      <c r="Y97">
        <v>8754.0040000000008</v>
      </c>
      <c r="Z97">
        <v>20.1511528283689</v>
      </c>
    </row>
    <row r="98" spans="6:26" x14ac:dyDescent="0.25">
      <c r="F98">
        <v>8756</v>
      </c>
      <c r="G98">
        <v>676.14237189565404</v>
      </c>
      <c r="I98">
        <v>8755.0040000000008</v>
      </c>
      <c r="J98">
        <v>3.97</v>
      </c>
      <c r="K98">
        <v>81.649999999999906</v>
      </c>
      <c r="L98">
        <v>85.619999999999905</v>
      </c>
      <c r="N98">
        <v>8755.0040000000008</v>
      </c>
      <c r="O98">
        <v>717606.80381634203</v>
      </c>
      <c r="P98">
        <v>42338.538931504801</v>
      </c>
      <c r="Q98">
        <v>759945.34174784704</v>
      </c>
      <c r="S98">
        <v>8755.0040000000008</v>
      </c>
      <c r="T98">
        <v>48066.486697897701</v>
      </c>
      <c r="V98">
        <v>8755.0040000000008</v>
      </c>
      <c r="W98">
        <v>118341.793364931</v>
      </c>
      <c r="Y98">
        <v>8755.0040000000008</v>
      </c>
      <c r="Z98">
        <v>14.0911528283689</v>
      </c>
    </row>
    <row r="99" spans="6:26" x14ac:dyDescent="0.25">
      <c r="F99">
        <v>8757</v>
      </c>
      <c r="G99">
        <v>676.18537189565404</v>
      </c>
      <c r="I99">
        <v>8756.0040000000008</v>
      </c>
      <c r="J99">
        <v>3.97</v>
      </c>
      <c r="K99">
        <v>87.3599999999999</v>
      </c>
      <c r="L99">
        <v>91.329999999999899</v>
      </c>
      <c r="N99">
        <v>8756.0040000000008</v>
      </c>
      <c r="O99">
        <v>717708.925816342</v>
      </c>
      <c r="P99">
        <v>42343.373931504801</v>
      </c>
      <c r="Q99">
        <v>760052.29974784702</v>
      </c>
      <c r="S99">
        <v>8756.0040000000008</v>
      </c>
      <c r="T99">
        <v>48066.486697897701</v>
      </c>
      <c r="V99">
        <v>8756.0040000000008</v>
      </c>
      <c r="W99">
        <v>118356.437364931</v>
      </c>
      <c r="Y99">
        <v>8756.0040000000008</v>
      </c>
      <c r="Z99">
        <v>14.6451528283689</v>
      </c>
    </row>
    <row r="100" spans="6:26" x14ac:dyDescent="0.25">
      <c r="F100">
        <v>8758</v>
      </c>
      <c r="G100">
        <v>676.22037189565401</v>
      </c>
      <c r="I100">
        <v>8757.0040000000008</v>
      </c>
      <c r="J100">
        <v>2.613</v>
      </c>
      <c r="K100">
        <v>72.326999999999899</v>
      </c>
      <c r="L100">
        <v>74.939999999999898</v>
      </c>
      <c r="N100">
        <v>8757.0040000000008</v>
      </c>
      <c r="O100">
        <v>717792.18081634201</v>
      </c>
      <c r="P100">
        <v>42348.2089315048</v>
      </c>
      <c r="Q100">
        <v>760140.38974784699</v>
      </c>
      <c r="S100">
        <v>8757.0040000000008</v>
      </c>
      <c r="T100">
        <v>48066.486697897701</v>
      </c>
      <c r="V100">
        <v>8757.0040000000008</v>
      </c>
      <c r="W100">
        <v>118368.22736493099</v>
      </c>
      <c r="Y100">
        <v>8757.0040000000008</v>
      </c>
      <c r="Z100">
        <v>11.7891528283689</v>
      </c>
    </row>
    <row r="101" spans="6:26" x14ac:dyDescent="0.25">
      <c r="F101">
        <v>8759</v>
      </c>
      <c r="G101">
        <v>676.22037189565401</v>
      </c>
      <c r="I101">
        <v>8758.0040000000008</v>
      </c>
      <c r="J101">
        <v>0</v>
      </c>
      <c r="K101">
        <v>68.499999999999901</v>
      </c>
      <c r="L101">
        <v>68.499999999999901</v>
      </c>
      <c r="N101">
        <v>8758.0040000000008</v>
      </c>
      <c r="O101">
        <v>717868.83181634196</v>
      </c>
      <c r="P101">
        <v>42353.044931504803</v>
      </c>
      <c r="Q101">
        <v>760221.87674784695</v>
      </c>
      <c r="S101">
        <v>8758.0040000000008</v>
      </c>
      <c r="T101">
        <v>48066.486697897701</v>
      </c>
      <c r="V101">
        <v>8758.0040000000008</v>
      </c>
      <c r="W101">
        <v>118379.35636493099</v>
      </c>
      <c r="Y101">
        <v>8758.0040000000008</v>
      </c>
      <c r="Z101">
        <v>11.1301528283689</v>
      </c>
    </row>
    <row r="102" spans="6:26" x14ac:dyDescent="0.25">
      <c r="F102">
        <v>8760</v>
      </c>
      <c r="G102">
        <v>676.22037189565401</v>
      </c>
      <c r="I102">
        <v>8759.0040000000008</v>
      </c>
      <c r="J102">
        <v>0</v>
      </c>
      <c r="K102">
        <v>59.779999999999902</v>
      </c>
      <c r="L102">
        <v>59.779999999999902</v>
      </c>
      <c r="N102">
        <v>8759.0040000000008</v>
      </c>
      <c r="O102">
        <v>717929.97281634202</v>
      </c>
      <c r="P102">
        <v>42357.879931504802</v>
      </c>
      <c r="Q102">
        <v>760287.85274784698</v>
      </c>
      <c r="S102">
        <v>8759.0040000000008</v>
      </c>
      <c r="T102">
        <v>48066.486697897701</v>
      </c>
      <c r="V102">
        <v>8759.0040000000008</v>
      </c>
      <c r="W102">
        <v>118388.98836493101</v>
      </c>
      <c r="Y102">
        <v>8759.0040000000008</v>
      </c>
      <c r="Z102">
        <v>9.6311528283689807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8955-F1FC-4CC6-BC53-44CF9E06A19E}">
  <dimension ref="A3:Y103"/>
  <sheetViews>
    <sheetView workbookViewId="0">
      <selection activeCell="A13" sqref="A13"/>
    </sheetView>
  </sheetViews>
  <sheetFormatPr defaultRowHeight="15" x14ac:dyDescent="0.25"/>
  <cols>
    <col min="9" max="9" width="12.140625" customWidth="1"/>
  </cols>
  <sheetData>
    <row r="3" spans="1:25" x14ac:dyDescent="0.25">
      <c r="A3" t="s">
        <v>272</v>
      </c>
      <c r="F3" t="s">
        <v>266</v>
      </c>
      <c r="I3" t="s">
        <v>267</v>
      </c>
      <c r="J3" t="s">
        <v>58</v>
      </c>
      <c r="K3" t="s">
        <v>59</v>
      </c>
      <c r="N3" t="s">
        <v>64</v>
      </c>
      <c r="Q3" t="s">
        <v>39</v>
      </c>
      <c r="R3" t="s">
        <v>40</v>
      </c>
      <c r="S3" t="s">
        <v>41</v>
      </c>
      <c r="V3" t="s">
        <v>42</v>
      </c>
      <c r="Y3" t="s">
        <v>268</v>
      </c>
    </row>
    <row r="4" spans="1:25" x14ac:dyDescent="0.25">
      <c r="A4">
        <v>0</v>
      </c>
      <c r="E4">
        <v>8661</v>
      </c>
      <c r="F4">
        <v>0</v>
      </c>
      <c r="H4">
        <v>8660.0040000000008</v>
      </c>
      <c r="I4">
        <v>0</v>
      </c>
      <c r="J4">
        <v>82.809999999999903</v>
      </c>
      <c r="K4">
        <v>82.809999999999903</v>
      </c>
      <c r="M4">
        <v>8660.0040000000008</v>
      </c>
      <c r="N4">
        <v>0</v>
      </c>
      <c r="P4">
        <v>8660.0040000000008</v>
      </c>
      <c r="Q4">
        <v>809853.66386005201</v>
      </c>
      <c r="R4">
        <v>0</v>
      </c>
      <c r="S4">
        <v>809853.66386005201</v>
      </c>
      <c r="U4">
        <v>8660.0040000000008</v>
      </c>
      <c r="V4">
        <v>155683.85038473699</v>
      </c>
      <c r="X4">
        <v>8660.0040000000008</v>
      </c>
      <c r="Y4">
        <v>24.627152828368899</v>
      </c>
    </row>
    <row r="5" spans="1:25" x14ac:dyDescent="0.25">
      <c r="A5" t="s">
        <v>269</v>
      </c>
      <c r="E5">
        <v>8662</v>
      </c>
      <c r="F5">
        <v>0</v>
      </c>
      <c r="H5">
        <v>8661.0040000000008</v>
      </c>
      <c r="I5">
        <v>0</v>
      </c>
      <c r="J5">
        <v>80.069999999999894</v>
      </c>
      <c r="K5">
        <v>80.069999999999894</v>
      </c>
      <c r="M5">
        <v>8661.0040000000008</v>
      </c>
      <c r="N5">
        <v>0</v>
      </c>
      <c r="P5">
        <v>8661.0040000000008</v>
      </c>
      <c r="Q5">
        <v>809929.64286005194</v>
      </c>
      <c r="R5">
        <v>0</v>
      </c>
      <c r="S5">
        <v>809929.64286005194</v>
      </c>
      <c r="U5">
        <v>8661.0040000000008</v>
      </c>
      <c r="V5">
        <v>155704.281384737</v>
      </c>
      <c r="X5">
        <v>8661.0040000000008</v>
      </c>
      <c r="Y5">
        <v>20.431152828368901</v>
      </c>
    </row>
    <row r="6" spans="1:25" x14ac:dyDescent="0.25">
      <c r="A6" s="1">
        <v>12973.785</v>
      </c>
      <c r="E6">
        <v>8663</v>
      </c>
      <c r="F6">
        <v>0</v>
      </c>
      <c r="H6">
        <v>8662.0040000000008</v>
      </c>
      <c r="I6">
        <v>0</v>
      </c>
      <c r="J6">
        <v>65.279999999999902</v>
      </c>
      <c r="K6">
        <v>65.279999999999902</v>
      </c>
      <c r="M6">
        <v>8662.0040000000008</v>
      </c>
      <c r="N6">
        <v>0</v>
      </c>
      <c r="P6">
        <v>8662.0040000000008</v>
      </c>
      <c r="Q6">
        <v>809984.81886005204</v>
      </c>
      <c r="R6">
        <v>0</v>
      </c>
      <c r="S6">
        <v>809984.81886005204</v>
      </c>
      <c r="U6">
        <v>8662.0040000000008</v>
      </c>
      <c r="V6">
        <v>155719.64438473701</v>
      </c>
      <c r="X6">
        <v>8662.0040000000008</v>
      </c>
      <c r="Y6">
        <v>15.3631528283689</v>
      </c>
    </row>
    <row r="7" spans="1:25" x14ac:dyDescent="0.25">
      <c r="A7" t="s">
        <v>273</v>
      </c>
      <c r="E7">
        <v>8664</v>
      </c>
      <c r="F7">
        <v>0</v>
      </c>
      <c r="H7">
        <v>8663.0040000000008</v>
      </c>
      <c r="I7">
        <v>0</v>
      </c>
      <c r="J7">
        <v>55.959999999999901</v>
      </c>
      <c r="K7">
        <v>55.959999999999901</v>
      </c>
      <c r="M7">
        <v>8663.0040000000008</v>
      </c>
      <c r="N7">
        <v>0</v>
      </c>
      <c r="P7">
        <v>8663.0040000000008</v>
      </c>
      <c r="Q7">
        <v>810028.94486005197</v>
      </c>
      <c r="R7">
        <v>0</v>
      </c>
      <c r="S7">
        <v>810028.94486005197</v>
      </c>
      <c r="U7">
        <v>8663.0040000000008</v>
      </c>
      <c r="V7">
        <v>155728.94238473699</v>
      </c>
      <c r="X7">
        <v>8663.0040000000008</v>
      </c>
      <c r="Y7">
        <v>9.2981528283689805</v>
      </c>
    </row>
    <row r="8" spans="1:25" x14ac:dyDescent="0.25">
      <c r="A8" s="1">
        <v>2513.9490000000001</v>
      </c>
      <c r="E8">
        <v>8665</v>
      </c>
      <c r="F8">
        <v>0</v>
      </c>
      <c r="H8">
        <v>8664.0040000000008</v>
      </c>
      <c r="I8">
        <v>0</v>
      </c>
      <c r="J8">
        <v>50.299999999999898</v>
      </c>
      <c r="K8">
        <v>50.299999999999898</v>
      </c>
      <c r="M8">
        <v>8664.0040000000008</v>
      </c>
      <c r="N8">
        <v>0</v>
      </c>
      <c r="P8">
        <v>8664.0040000000008</v>
      </c>
      <c r="Q8">
        <v>810068.71986005199</v>
      </c>
      <c r="R8">
        <v>0</v>
      </c>
      <c r="S8">
        <v>810068.71986005199</v>
      </c>
      <c r="U8">
        <v>8664.0040000000008</v>
      </c>
      <c r="V8">
        <v>155736.82338473701</v>
      </c>
      <c r="X8">
        <v>8664.0040000000008</v>
      </c>
      <c r="Y8">
        <v>7.8811528283689798</v>
      </c>
    </row>
    <row r="9" spans="1:25" x14ac:dyDescent="0.25">
      <c r="E9">
        <v>8666</v>
      </c>
      <c r="F9">
        <v>0</v>
      </c>
      <c r="H9">
        <v>8665.0040000000008</v>
      </c>
      <c r="I9">
        <v>0</v>
      </c>
      <c r="J9">
        <v>36.999999999999901</v>
      </c>
      <c r="K9">
        <v>36.999999999999901</v>
      </c>
      <c r="M9">
        <v>8665.0040000000008</v>
      </c>
      <c r="N9">
        <v>0</v>
      </c>
      <c r="P9">
        <v>8665.0040000000008</v>
      </c>
      <c r="Q9">
        <v>810092.59586005204</v>
      </c>
      <c r="R9">
        <v>0</v>
      </c>
      <c r="S9">
        <v>810092.59586005204</v>
      </c>
      <c r="U9">
        <v>8665.0040000000008</v>
      </c>
      <c r="V9">
        <v>155742.01438473701</v>
      </c>
      <c r="X9">
        <v>8665.0040000000008</v>
      </c>
      <c r="Y9">
        <v>5.1911528283689803</v>
      </c>
    </row>
    <row r="10" spans="1:25" x14ac:dyDescent="0.25">
      <c r="E10">
        <v>8667</v>
      </c>
      <c r="F10">
        <v>0</v>
      </c>
      <c r="H10">
        <v>8666.0040000000008</v>
      </c>
      <c r="I10">
        <v>0</v>
      </c>
      <c r="J10">
        <v>32.1099999999999</v>
      </c>
      <c r="K10">
        <v>32.1099999999999</v>
      </c>
      <c r="M10">
        <v>8666.0040000000008</v>
      </c>
      <c r="N10">
        <v>0</v>
      </c>
      <c r="P10">
        <v>8666.0040000000008</v>
      </c>
      <c r="Q10">
        <v>810110.05786005198</v>
      </c>
      <c r="R10">
        <v>0</v>
      </c>
      <c r="S10">
        <v>810110.05786005198</v>
      </c>
      <c r="U10">
        <v>8666.0040000000008</v>
      </c>
      <c r="V10">
        <v>155745.75338473701</v>
      </c>
      <c r="X10">
        <v>8666.0040000000008</v>
      </c>
      <c r="Y10">
        <v>3.73815282836898</v>
      </c>
    </row>
    <row r="11" spans="1:25" x14ac:dyDescent="0.25">
      <c r="E11">
        <v>8668</v>
      </c>
      <c r="F11">
        <v>0</v>
      </c>
      <c r="H11">
        <v>8667.0040000000008</v>
      </c>
      <c r="I11">
        <v>0</v>
      </c>
      <c r="J11">
        <v>29.719999999999899</v>
      </c>
      <c r="K11">
        <v>29.719999999999899</v>
      </c>
      <c r="M11">
        <v>8667.0040000000008</v>
      </c>
      <c r="N11">
        <v>0</v>
      </c>
      <c r="P11">
        <v>8667.0040000000008</v>
      </c>
      <c r="Q11">
        <v>810124.00386005198</v>
      </c>
      <c r="R11">
        <v>0</v>
      </c>
      <c r="S11">
        <v>810124.00386005198</v>
      </c>
      <c r="U11">
        <v>8667.0040000000008</v>
      </c>
      <c r="V11">
        <v>155748.83738473701</v>
      </c>
      <c r="X11">
        <v>8667.0040000000008</v>
      </c>
      <c r="Y11">
        <v>3.08515282836898</v>
      </c>
    </row>
    <row r="12" spans="1:25" x14ac:dyDescent="0.25">
      <c r="A12">
        <f>A4/8760 *100</f>
        <v>0</v>
      </c>
      <c r="E12">
        <v>8669</v>
      </c>
      <c r="F12">
        <v>0</v>
      </c>
      <c r="H12">
        <v>8668.0040000000008</v>
      </c>
      <c r="I12">
        <v>0</v>
      </c>
      <c r="J12">
        <v>28.8799999999999</v>
      </c>
      <c r="K12">
        <v>28.8799999999999</v>
      </c>
      <c r="M12">
        <v>8668.0040000000008</v>
      </c>
      <c r="N12">
        <v>0</v>
      </c>
      <c r="P12">
        <v>8668.0040000000008</v>
      </c>
      <c r="Q12">
        <v>810131.457860052</v>
      </c>
      <c r="R12">
        <v>0</v>
      </c>
      <c r="S12">
        <v>810131.457860052</v>
      </c>
      <c r="U12">
        <v>8668.0040000000008</v>
      </c>
      <c r="V12">
        <v>155751.85038473699</v>
      </c>
      <c r="X12">
        <v>8668.0040000000008</v>
      </c>
      <c r="Y12">
        <v>3.01215282836898</v>
      </c>
    </row>
    <row r="13" spans="1:25" x14ac:dyDescent="0.25">
      <c r="E13">
        <v>8670</v>
      </c>
      <c r="F13">
        <v>0</v>
      </c>
      <c r="H13">
        <v>8669.0040000000008</v>
      </c>
      <c r="I13">
        <v>0</v>
      </c>
      <c r="J13">
        <v>29.119999999999902</v>
      </c>
      <c r="K13">
        <v>29.119999999999902</v>
      </c>
      <c r="M13">
        <v>8669.0040000000008</v>
      </c>
      <c r="N13">
        <v>0</v>
      </c>
      <c r="P13">
        <v>8669.0040000000008</v>
      </c>
      <c r="Q13">
        <v>810131.69686005195</v>
      </c>
      <c r="R13">
        <v>0</v>
      </c>
      <c r="S13">
        <v>810131.69686005195</v>
      </c>
      <c r="U13">
        <v>8669.0040000000008</v>
      </c>
      <c r="V13">
        <v>155754.83138473699</v>
      </c>
      <c r="X13">
        <v>8669.0040000000008</v>
      </c>
      <c r="Y13">
        <v>2.9811528283689799</v>
      </c>
    </row>
    <row r="14" spans="1:25" x14ac:dyDescent="0.25">
      <c r="E14">
        <v>8671</v>
      </c>
      <c r="F14">
        <v>0</v>
      </c>
      <c r="H14">
        <v>8670.0040000000008</v>
      </c>
      <c r="I14">
        <v>0</v>
      </c>
      <c r="J14">
        <v>34.259999999999899</v>
      </c>
      <c r="K14">
        <v>34.259999999999899</v>
      </c>
      <c r="M14">
        <v>8670.0040000000008</v>
      </c>
      <c r="N14">
        <v>0</v>
      </c>
      <c r="P14">
        <v>8670.0040000000008</v>
      </c>
      <c r="Q14">
        <v>810131.79986005195</v>
      </c>
      <c r="R14">
        <v>0</v>
      </c>
      <c r="S14">
        <v>810131.79986005195</v>
      </c>
      <c r="U14">
        <v>8670.0040000000008</v>
      </c>
      <c r="V14">
        <v>155758.48638473701</v>
      </c>
      <c r="X14">
        <v>8670.0040000000008</v>
      </c>
      <c r="Y14">
        <v>3.6561528283689801</v>
      </c>
    </row>
    <row r="15" spans="1:25" x14ac:dyDescent="0.25">
      <c r="E15">
        <v>8672</v>
      </c>
      <c r="F15">
        <v>0</v>
      </c>
      <c r="H15">
        <v>8671.0040000000008</v>
      </c>
      <c r="I15">
        <v>0</v>
      </c>
      <c r="J15">
        <v>41.499999999999901</v>
      </c>
      <c r="K15">
        <v>41.499999999999901</v>
      </c>
      <c r="M15">
        <v>8671.0040000000008</v>
      </c>
      <c r="N15">
        <v>0</v>
      </c>
      <c r="P15">
        <v>8671.0040000000008</v>
      </c>
      <c r="Q15">
        <v>810132.13986005203</v>
      </c>
      <c r="R15">
        <v>0</v>
      </c>
      <c r="S15">
        <v>810132.13986005203</v>
      </c>
      <c r="U15">
        <v>8671.0040000000008</v>
      </c>
      <c r="V15">
        <v>155763.058384737</v>
      </c>
      <c r="X15">
        <v>8671.0040000000008</v>
      </c>
      <c r="Y15">
        <v>4.5711528283689802</v>
      </c>
    </row>
    <row r="16" spans="1:25" x14ac:dyDescent="0.25">
      <c r="E16">
        <v>8673</v>
      </c>
      <c r="F16">
        <v>0</v>
      </c>
      <c r="H16">
        <v>8672.0040000000008</v>
      </c>
      <c r="I16">
        <v>0</v>
      </c>
      <c r="J16">
        <v>54.839999999999897</v>
      </c>
      <c r="K16">
        <v>54.839999999999897</v>
      </c>
      <c r="M16">
        <v>8672.0040000000008</v>
      </c>
      <c r="N16">
        <v>0</v>
      </c>
      <c r="P16">
        <v>8672.0040000000008</v>
      </c>
      <c r="Q16">
        <v>810172.23286005203</v>
      </c>
      <c r="R16">
        <v>0</v>
      </c>
      <c r="S16">
        <v>810172.23286005203</v>
      </c>
      <c r="U16">
        <v>8672.0040000000008</v>
      </c>
      <c r="V16">
        <v>155771.525384737</v>
      </c>
      <c r="X16">
        <v>8672.0040000000008</v>
      </c>
      <c r="Y16">
        <v>8.4671528283689792</v>
      </c>
    </row>
    <row r="17" spans="5:25" x14ac:dyDescent="0.25">
      <c r="E17">
        <v>8674</v>
      </c>
      <c r="F17">
        <v>0</v>
      </c>
      <c r="H17">
        <v>8673.0040000000008</v>
      </c>
      <c r="I17">
        <v>0</v>
      </c>
      <c r="J17">
        <v>68.349999999999895</v>
      </c>
      <c r="K17">
        <v>68.349999999999895</v>
      </c>
      <c r="M17">
        <v>8673.0040000000008</v>
      </c>
      <c r="N17">
        <v>0</v>
      </c>
      <c r="P17">
        <v>8673.0040000000008</v>
      </c>
      <c r="Q17">
        <v>810223.37486005202</v>
      </c>
      <c r="R17">
        <v>0</v>
      </c>
      <c r="S17">
        <v>810223.37486005202</v>
      </c>
      <c r="U17">
        <v>8673.0040000000008</v>
      </c>
      <c r="V17">
        <v>155782.79938473701</v>
      </c>
      <c r="X17">
        <v>8673.0040000000008</v>
      </c>
      <c r="Y17">
        <v>11.2741528283689</v>
      </c>
    </row>
    <row r="18" spans="5:25" x14ac:dyDescent="0.25">
      <c r="E18">
        <v>8675</v>
      </c>
      <c r="F18">
        <v>0</v>
      </c>
      <c r="H18">
        <v>8674.0040000000008</v>
      </c>
      <c r="I18">
        <v>0</v>
      </c>
      <c r="J18">
        <v>78.469999999999899</v>
      </c>
      <c r="K18">
        <v>78.469999999999899</v>
      </c>
      <c r="M18">
        <v>8674.0040000000008</v>
      </c>
      <c r="N18">
        <v>0</v>
      </c>
      <c r="P18">
        <v>8674.0040000000008</v>
      </c>
      <c r="Q18">
        <v>810280.97686005197</v>
      </c>
      <c r="R18">
        <v>0</v>
      </c>
      <c r="S18">
        <v>810280.97686005197</v>
      </c>
      <c r="U18">
        <v>8674.0040000000008</v>
      </c>
      <c r="V18">
        <v>155796.60938473701</v>
      </c>
      <c r="X18">
        <v>8674.0040000000008</v>
      </c>
      <c r="Y18">
        <v>13.810152828368899</v>
      </c>
    </row>
    <row r="19" spans="5:25" x14ac:dyDescent="0.25">
      <c r="E19">
        <v>8676</v>
      </c>
      <c r="F19">
        <v>0</v>
      </c>
      <c r="H19">
        <v>8675.0040000000008</v>
      </c>
      <c r="I19">
        <v>0</v>
      </c>
      <c r="J19">
        <v>78.829999999999899</v>
      </c>
      <c r="K19">
        <v>78.829999999999899</v>
      </c>
      <c r="M19">
        <v>8675.0040000000008</v>
      </c>
      <c r="N19">
        <v>0</v>
      </c>
      <c r="P19">
        <v>8675.0040000000008</v>
      </c>
      <c r="Q19">
        <v>810344.42986005195</v>
      </c>
      <c r="R19">
        <v>0</v>
      </c>
      <c r="S19">
        <v>810344.42986005195</v>
      </c>
      <c r="U19">
        <v>8675.0040000000008</v>
      </c>
      <c r="V19">
        <v>155811.45138473701</v>
      </c>
      <c r="X19">
        <v>8675.0040000000008</v>
      </c>
      <c r="Y19">
        <v>14.842152828368899</v>
      </c>
    </row>
    <row r="20" spans="5:25" x14ac:dyDescent="0.25">
      <c r="E20">
        <v>8677</v>
      </c>
      <c r="F20">
        <v>0</v>
      </c>
      <c r="H20">
        <v>8676.0040000000008</v>
      </c>
      <c r="I20">
        <v>0</v>
      </c>
      <c r="J20">
        <v>72.899999999999906</v>
      </c>
      <c r="K20">
        <v>72.899999999999906</v>
      </c>
      <c r="M20">
        <v>8676.0040000000008</v>
      </c>
      <c r="N20">
        <v>0</v>
      </c>
      <c r="P20">
        <v>8676.0040000000008</v>
      </c>
      <c r="Q20">
        <v>810401.09686005197</v>
      </c>
      <c r="R20">
        <v>0</v>
      </c>
      <c r="S20">
        <v>810401.09686005197</v>
      </c>
      <c r="U20">
        <v>8676.0040000000008</v>
      </c>
      <c r="V20">
        <v>155826.48438473701</v>
      </c>
      <c r="X20">
        <v>8676.0040000000008</v>
      </c>
      <c r="Y20">
        <v>15.0331528283689</v>
      </c>
    </row>
    <row r="21" spans="5:25" x14ac:dyDescent="0.25">
      <c r="E21">
        <v>8678</v>
      </c>
      <c r="F21">
        <v>0</v>
      </c>
      <c r="H21">
        <v>8677.0040000000008</v>
      </c>
      <c r="I21">
        <v>0</v>
      </c>
      <c r="J21">
        <v>74.449999999999903</v>
      </c>
      <c r="K21">
        <v>74.449999999999903</v>
      </c>
      <c r="M21">
        <v>8677.0040000000008</v>
      </c>
      <c r="N21">
        <v>0</v>
      </c>
      <c r="P21">
        <v>8677.0040000000008</v>
      </c>
      <c r="Q21">
        <v>810457.63586005196</v>
      </c>
      <c r="R21">
        <v>0</v>
      </c>
      <c r="S21">
        <v>810457.63586005196</v>
      </c>
      <c r="U21">
        <v>8677.0040000000008</v>
      </c>
      <c r="V21">
        <v>155841.14338473699</v>
      </c>
      <c r="X21">
        <v>8677.0040000000008</v>
      </c>
      <c r="Y21">
        <v>14.659152828368899</v>
      </c>
    </row>
    <row r="22" spans="5:25" x14ac:dyDescent="0.25">
      <c r="E22">
        <v>8679</v>
      </c>
      <c r="F22">
        <v>0</v>
      </c>
      <c r="H22">
        <v>8678.0040000000008</v>
      </c>
      <c r="I22">
        <v>0</v>
      </c>
      <c r="J22">
        <v>69.849999999999895</v>
      </c>
      <c r="K22">
        <v>69.849999999999895</v>
      </c>
      <c r="M22">
        <v>8678.0040000000008</v>
      </c>
      <c r="N22">
        <v>0</v>
      </c>
      <c r="P22">
        <v>8678.0040000000008</v>
      </c>
      <c r="Q22">
        <v>810516.04986005195</v>
      </c>
      <c r="R22">
        <v>0</v>
      </c>
      <c r="S22">
        <v>810516.04986005195</v>
      </c>
      <c r="U22">
        <v>8678.0040000000008</v>
      </c>
      <c r="V22">
        <v>155854.23638473701</v>
      </c>
      <c r="X22">
        <v>8678.0040000000008</v>
      </c>
      <c r="Y22">
        <v>13.0931528283689</v>
      </c>
    </row>
    <row r="23" spans="5:25" x14ac:dyDescent="0.25">
      <c r="E23">
        <v>8680</v>
      </c>
      <c r="F23">
        <v>0</v>
      </c>
      <c r="H23">
        <v>8679.0040000000008</v>
      </c>
      <c r="I23">
        <v>0</v>
      </c>
      <c r="J23">
        <v>77.559999999999903</v>
      </c>
      <c r="K23">
        <v>77.559999999999903</v>
      </c>
      <c r="M23">
        <v>8679.0040000000008</v>
      </c>
      <c r="N23">
        <v>0</v>
      </c>
      <c r="P23">
        <v>8679.0040000000008</v>
      </c>
      <c r="Q23">
        <v>810587.39086005196</v>
      </c>
      <c r="R23">
        <v>0</v>
      </c>
      <c r="S23">
        <v>810587.39086005196</v>
      </c>
      <c r="U23">
        <v>8679.0040000000008</v>
      </c>
      <c r="V23">
        <v>155867.07838473699</v>
      </c>
      <c r="X23">
        <v>8679.0040000000008</v>
      </c>
      <c r="Y23">
        <v>12.842152828368899</v>
      </c>
    </row>
    <row r="24" spans="5:25" x14ac:dyDescent="0.25">
      <c r="E24">
        <v>8681</v>
      </c>
      <c r="F24">
        <v>0</v>
      </c>
      <c r="H24">
        <v>8680.0040000000008</v>
      </c>
      <c r="I24">
        <v>0</v>
      </c>
      <c r="J24">
        <v>87.349999999999895</v>
      </c>
      <c r="K24">
        <v>87.349999999999895</v>
      </c>
      <c r="M24">
        <v>8680.0040000000008</v>
      </c>
      <c r="N24">
        <v>0</v>
      </c>
      <c r="P24">
        <v>8680.0040000000008</v>
      </c>
      <c r="Q24">
        <v>810686.43886005203</v>
      </c>
      <c r="R24">
        <v>0</v>
      </c>
      <c r="S24">
        <v>810686.43886005203</v>
      </c>
      <c r="U24">
        <v>8680.0040000000008</v>
      </c>
      <c r="V24">
        <v>155881.332384737</v>
      </c>
      <c r="X24">
        <v>8680.0040000000008</v>
      </c>
      <c r="Y24">
        <v>14.2541528283689</v>
      </c>
    </row>
    <row r="25" spans="5:25" x14ac:dyDescent="0.25">
      <c r="E25">
        <v>8682</v>
      </c>
      <c r="F25">
        <v>0</v>
      </c>
      <c r="H25">
        <v>8681.0040000000008</v>
      </c>
      <c r="I25">
        <v>0</v>
      </c>
      <c r="J25">
        <v>110.05999999999899</v>
      </c>
      <c r="K25">
        <v>110.05999999999899</v>
      </c>
      <c r="M25">
        <v>8681.0040000000008</v>
      </c>
      <c r="N25">
        <v>0</v>
      </c>
      <c r="P25">
        <v>8681.0040000000008</v>
      </c>
      <c r="Q25">
        <v>810813.86486005201</v>
      </c>
      <c r="R25">
        <v>0</v>
      </c>
      <c r="S25">
        <v>810813.86486005201</v>
      </c>
      <c r="U25">
        <v>8681.0040000000008</v>
      </c>
      <c r="V25">
        <v>155901.115384737</v>
      </c>
      <c r="X25">
        <v>8681.0040000000008</v>
      </c>
      <c r="Y25">
        <v>19.783152828368902</v>
      </c>
    </row>
    <row r="26" spans="5:25" x14ac:dyDescent="0.25">
      <c r="E26">
        <v>8683</v>
      </c>
      <c r="F26">
        <v>0</v>
      </c>
      <c r="H26">
        <v>8682.0040000000008</v>
      </c>
      <c r="I26">
        <v>0</v>
      </c>
      <c r="J26">
        <v>114.83999999999899</v>
      </c>
      <c r="K26">
        <v>114.83999999999899</v>
      </c>
      <c r="M26">
        <v>8682.0040000000008</v>
      </c>
      <c r="N26">
        <v>0</v>
      </c>
      <c r="P26">
        <v>8682.0040000000008</v>
      </c>
      <c r="Q26">
        <v>810950.25286005205</v>
      </c>
      <c r="R26">
        <v>0</v>
      </c>
      <c r="S26">
        <v>810950.25286005205</v>
      </c>
      <c r="U26">
        <v>8682.0040000000008</v>
      </c>
      <c r="V26">
        <v>155919.411384737</v>
      </c>
      <c r="X26">
        <v>8682.0040000000008</v>
      </c>
      <c r="Y26">
        <v>18.295152828368899</v>
      </c>
    </row>
    <row r="27" spans="5:25" x14ac:dyDescent="0.25">
      <c r="E27">
        <v>8684</v>
      </c>
      <c r="F27">
        <v>0</v>
      </c>
      <c r="H27">
        <v>8683.0040000000008</v>
      </c>
      <c r="I27">
        <v>0</v>
      </c>
      <c r="J27">
        <v>99.809999999999903</v>
      </c>
      <c r="K27">
        <v>99.809999999999903</v>
      </c>
      <c r="M27">
        <v>8683.0040000000008</v>
      </c>
      <c r="N27">
        <v>0</v>
      </c>
      <c r="P27">
        <v>8683.0040000000008</v>
      </c>
      <c r="Q27">
        <v>811067.59886005195</v>
      </c>
      <c r="R27">
        <v>0</v>
      </c>
      <c r="S27">
        <v>811067.59886005195</v>
      </c>
      <c r="U27">
        <v>8683.0040000000008</v>
      </c>
      <c r="V27">
        <v>155934.93438473699</v>
      </c>
      <c r="X27">
        <v>8683.0040000000008</v>
      </c>
      <c r="Y27">
        <v>15.5231528283689</v>
      </c>
    </row>
    <row r="28" spans="5:25" x14ac:dyDescent="0.25">
      <c r="E28">
        <v>8685</v>
      </c>
      <c r="F28">
        <v>0</v>
      </c>
      <c r="H28">
        <v>8684.0040000000008</v>
      </c>
      <c r="I28">
        <v>0</v>
      </c>
      <c r="J28">
        <v>85.519999999999897</v>
      </c>
      <c r="K28">
        <v>85.519999999999897</v>
      </c>
      <c r="M28">
        <v>8684.0040000000008</v>
      </c>
      <c r="N28">
        <v>0</v>
      </c>
      <c r="P28">
        <v>8684.0040000000008</v>
      </c>
      <c r="Q28">
        <v>811165.14586005197</v>
      </c>
      <c r="R28">
        <v>0</v>
      </c>
      <c r="S28">
        <v>811165.14586005197</v>
      </c>
      <c r="U28">
        <v>8684.0040000000008</v>
      </c>
      <c r="V28">
        <v>155950.303384737</v>
      </c>
      <c r="X28">
        <v>8684.0040000000008</v>
      </c>
      <c r="Y28">
        <v>15.3691528283689</v>
      </c>
    </row>
    <row r="29" spans="5:25" x14ac:dyDescent="0.25">
      <c r="E29">
        <v>8686</v>
      </c>
      <c r="F29">
        <v>0</v>
      </c>
      <c r="H29">
        <v>8685.0040000000008</v>
      </c>
      <c r="I29">
        <v>0</v>
      </c>
      <c r="J29">
        <v>75.589999999999904</v>
      </c>
      <c r="K29">
        <v>75.589999999999904</v>
      </c>
      <c r="M29">
        <v>8685.0040000000008</v>
      </c>
      <c r="N29">
        <v>0</v>
      </c>
      <c r="P29">
        <v>8685.0040000000008</v>
      </c>
      <c r="Q29">
        <v>811246.79886005202</v>
      </c>
      <c r="R29">
        <v>0</v>
      </c>
      <c r="S29">
        <v>811246.79886005202</v>
      </c>
      <c r="U29">
        <v>8685.0040000000008</v>
      </c>
      <c r="V29">
        <v>155963.97038473701</v>
      </c>
      <c r="X29">
        <v>8685.0040000000008</v>
      </c>
      <c r="Y29">
        <v>13.6671528283689</v>
      </c>
    </row>
    <row r="30" spans="5:25" x14ac:dyDescent="0.25">
      <c r="E30">
        <v>8687</v>
      </c>
      <c r="F30">
        <v>0</v>
      </c>
      <c r="H30">
        <v>8686.0040000000008</v>
      </c>
      <c r="I30">
        <v>0</v>
      </c>
      <c r="J30">
        <v>64.029999999999902</v>
      </c>
      <c r="K30">
        <v>64.029999999999902</v>
      </c>
      <c r="M30">
        <v>8686.0040000000008</v>
      </c>
      <c r="N30">
        <v>0</v>
      </c>
      <c r="P30">
        <v>8686.0040000000008</v>
      </c>
      <c r="Q30">
        <v>811313.67186005204</v>
      </c>
      <c r="R30">
        <v>0</v>
      </c>
      <c r="S30">
        <v>811313.67186005204</v>
      </c>
      <c r="U30">
        <v>8686.0040000000008</v>
      </c>
      <c r="V30">
        <v>155975.51038473699</v>
      </c>
      <c r="X30">
        <v>8686.0040000000008</v>
      </c>
      <c r="Y30">
        <v>11.5401528283689</v>
      </c>
    </row>
    <row r="31" spans="5:25" x14ac:dyDescent="0.25">
      <c r="E31">
        <v>8688</v>
      </c>
      <c r="F31">
        <v>0</v>
      </c>
      <c r="H31">
        <v>8687.0040000000008</v>
      </c>
      <c r="I31">
        <v>0</v>
      </c>
      <c r="J31">
        <v>51.1799999999999</v>
      </c>
      <c r="K31">
        <v>51.1799999999999</v>
      </c>
      <c r="M31">
        <v>8687.0040000000008</v>
      </c>
      <c r="N31">
        <v>0</v>
      </c>
      <c r="P31">
        <v>8687.0040000000008</v>
      </c>
      <c r="Q31">
        <v>811366.398860052</v>
      </c>
      <c r="R31">
        <v>0</v>
      </c>
      <c r="S31">
        <v>811366.398860052</v>
      </c>
      <c r="U31">
        <v>8687.0040000000008</v>
      </c>
      <c r="V31">
        <v>155987.68238473701</v>
      </c>
      <c r="X31">
        <v>8687.0040000000008</v>
      </c>
      <c r="Y31">
        <v>12.172152828368899</v>
      </c>
    </row>
    <row r="32" spans="5:25" x14ac:dyDescent="0.25">
      <c r="E32">
        <v>8689</v>
      </c>
      <c r="F32">
        <v>0</v>
      </c>
      <c r="H32">
        <v>8688.0040000000008</v>
      </c>
      <c r="I32">
        <v>0</v>
      </c>
      <c r="J32">
        <v>42.139999999999901</v>
      </c>
      <c r="K32">
        <v>42.139999999999901</v>
      </c>
      <c r="M32">
        <v>8688.0040000000008</v>
      </c>
      <c r="N32">
        <v>0</v>
      </c>
      <c r="P32">
        <v>8688.0040000000008</v>
      </c>
      <c r="Q32">
        <v>811414.87386005197</v>
      </c>
      <c r="R32">
        <v>0</v>
      </c>
      <c r="S32">
        <v>811414.87386005197</v>
      </c>
      <c r="U32">
        <v>8688.0040000000008</v>
      </c>
      <c r="V32">
        <v>156000.85838473699</v>
      </c>
      <c r="X32">
        <v>8688.0040000000008</v>
      </c>
      <c r="Y32">
        <v>13.1771528283689</v>
      </c>
    </row>
    <row r="33" spans="5:25" x14ac:dyDescent="0.25">
      <c r="E33">
        <v>8690</v>
      </c>
      <c r="F33">
        <v>0</v>
      </c>
      <c r="H33">
        <v>8689.0040000000008</v>
      </c>
      <c r="I33">
        <v>0</v>
      </c>
      <c r="J33">
        <v>36.769999999999897</v>
      </c>
      <c r="K33">
        <v>36.769999999999897</v>
      </c>
      <c r="M33">
        <v>8689.0040000000008</v>
      </c>
      <c r="N33">
        <v>0</v>
      </c>
      <c r="P33">
        <v>8689.0040000000008</v>
      </c>
      <c r="Q33">
        <v>811457.14386005199</v>
      </c>
      <c r="R33">
        <v>0</v>
      </c>
      <c r="S33">
        <v>811457.14386005199</v>
      </c>
      <c r="U33">
        <v>8689.0040000000008</v>
      </c>
      <c r="V33">
        <v>156012.80638473699</v>
      </c>
      <c r="X33">
        <v>8689.0040000000008</v>
      </c>
      <c r="Y33">
        <v>11.948152828368899</v>
      </c>
    </row>
    <row r="34" spans="5:25" x14ac:dyDescent="0.25">
      <c r="E34">
        <v>8691</v>
      </c>
      <c r="F34">
        <v>0</v>
      </c>
      <c r="H34">
        <v>8690.0040000000008</v>
      </c>
      <c r="I34">
        <v>0</v>
      </c>
      <c r="J34">
        <v>33.149999999999899</v>
      </c>
      <c r="K34">
        <v>33.149999999999899</v>
      </c>
      <c r="M34">
        <v>8690.0040000000008</v>
      </c>
      <c r="N34">
        <v>0</v>
      </c>
      <c r="P34">
        <v>8690.0040000000008</v>
      </c>
      <c r="Q34">
        <v>811495.45086005202</v>
      </c>
      <c r="R34">
        <v>0</v>
      </c>
      <c r="S34">
        <v>811495.45086005202</v>
      </c>
      <c r="U34">
        <v>8690.0040000000008</v>
      </c>
      <c r="V34">
        <v>156023.78838473701</v>
      </c>
      <c r="X34">
        <v>8690.0040000000008</v>
      </c>
      <c r="Y34">
        <v>10.9821528283689</v>
      </c>
    </row>
    <row r="35" spans="5:25" x14ac:dyDescent="0.25">
      <c r="E35">
        <v>8692</v>
      </c>
      <c r="F35">
        <v>0</v>
      </c>
      <c r="H35">
        <v>8691.0040000000008</v>
      </c>
      <c r="I35">
        <v>0</v>
      </c>
      <c r="J35">
        <v>31.799999999999901</v>
      </c>
      <c r="K35">
        <v>31.799999999999901</v>
      </c>
      <c r="M35">
        <v>8691.0040000000008</v>
      </c>
      <c r="N35">
        <v>0</v>
      </c>
      <c r="P35">
        <v>8691.0040000000008</v>
      </c>
      <c r="Q35">
        <v>811532.52986005205</v>
      </c>
      <c r="R35">
        <v>0</v>
      </c>
      <c r="S35">
        <v>811532.52986005205</v>
      </c>
      <c r="U35">
        <v>8691.0040000000008</v>
      </c>
      <c r="V35">
        <v>156035.94038473701</v>
      </c>
      <c r="X35">
        <v>8691.0040000000008</v>
      </c>
      <c r="Y35">
        <v>12.1511528283689</v>
      </c>
    </row>
    <row r="36" spans="5:25" x14ac:dyDescent="0.25">
      <c r="E36">
        <v>8693</v>
      </c>
      <c r="F36">
        <v>0</v>
      </c>
      <c r="H36">
        <v>8692.0040000000008</v>
      </c>
      <c r="I36">
        <v>0</v>
      </c>
      <c r="J36">
        <v>29.939999999999898</v>
      </c>
      <c r="K36">
        <v>29.939999999999898</v>
      </c>
      <c r="M36">
        <v>8692.0040000000008</v>
      </c>
      <c r="N36">
        <v>0</v>
      </c>
      <c r="P36">
        <v>8692.0040000000008</v>
      </c>
      <c r="Q36">
        <v>811569.53886005201</v>
      </c>
      <c r="R36">
        <v>0</v>
      </c>
      <c r="S36">
        <v>811569.53886005201</v>
      </c>
      <c r="U36">
        <v>8692.0040000000008</v>
      </c>
      <c r="V36">
        <v>156048.966384737</v>
      </c>
      <c r="X36">
        <v>8692.0040000000008</v>
      </c>
      <c r="Y36">
        <v>13.0261528283689</v>
      </c>
    </row>
    <row r="37" spans="5:25" x14ac:dyDescent="0.25">
      <c r="E37">
        <v>8694</v>
      </c>
      <c r="F37">
        <v>0</v>
      </c>
      <c r="H37">
        <v>8693.0040000000008</v>
      </c>
      <c r="I37">
        <v>0</v>
      </c>
      <c r="J37">
        <v>31.8599999999999</v>
      </c>
      <c r="K37">
        <v>31.8599999999999</v>
      </c>
      <c r="M37">
        <v>8693.0040000000008</v>
      </c>
      <c r="N37">
        <v>0</v>
      </c>
      <c r="P37">
        <v>8693.0040000000008</v>
      </c>
      <c r="Q37">
        <v>811611.60786005203</v>
      </c>
      <c r="R37">
        <v>0</v>
      </c>
      <c r="S37">
        <v>811611.60786005203</v>
      </c>
      <c r="U37">
        <v>8693.0040000000008</v>
      </c>
      <c r="V37">
        <v>156063.46938473699</v>
      </c>
      <c r="X37">
        <v>8693.0040000000008</v>
      </c>
      <c r="Y37">
        <v>14.503152828368901</v>
      </c>
    </row>
    <row r="38" spans="5:25" x14ac:dyDescent="0.25">
      <c r="E38">
        <v>8695</v>
      </c>
      <c r="F38">
        <v>0</v>
      </c>
      <c r="H38">
        <v>8694.0040000000008</v>
      </c>
      <c r="I38">
        <v>0</v>
      </c>
      <c r="J38">
        <v>41.879999999999903</v>
      </c>
      <c r="K38">
        <v>41.879999999999903</v>
      </c>
      <c r="M38">
        <v>8694.0040000000008</v>
      </c>
      <c r="N38">
        <v>0</v>
      </c>
      <c r="P38">
        <v>8694.0040000000008</v>
      </c>
      <c r="Q38">
        <v>811668.74986005202</v>
      </c>
      <c r="R38">
        <v>0</v>
      </c>
      <c r="S38">
        <v>811668.74986005202</v>
      </c>
      <c r="U38">
        <v>8694.0040000000008</v>
      </c>
      <c r="V38">
        <v>156084.955384737</v>
      </c>
      <c r="X38">
        <v>8694.0040000000008</v>
      </c>
      <c r="Y38">
        <v>21.486152828368901</v>
      </c>
    </row>
    <row r="39" spans="5:25" x14ac:dyDescent="0.25">
      <c r="E39">
        <v>8696</v>
      </c>
      <c r="F39">
        <v>0</v>
      </c>
      <c r="H39">
        <v>8695.0040000000008</v>
      </c>
      <c r="I39">
        <v>0</v>
      </c>
      <c r="J39">
        <v>48.639999999999901</v>
      </c>
      <c r="K39">
        <v>48.639999999999901</v>
      </c>
      <c r="M39">
        <v>8695.0040000000008</v>
      </c>
      <c r="N39">
        <v>0</v>
      </c>
      <c r="P39">
        <v>8695.0040000000008</v>
      </c>
      <c r="Q39">
        <v>811740.92186005204</v>
      </c>
      <c r="R39">
        <v>0</v>
      </c>
      <c r="S39">
        <v>811740.92186005204</v>
      </c>
      <c r="U39">
        <v>8695.0040000000008</v>
      </c>
      <c r="V39">
        <v>156113.95638473699</v>
      </c>
      <c r="X39">
        <v>8695.0040000000008</v>
      </c>
      <c r="Y39">
        <v>29.001152828368902</v>
      </c>
    </row>
    <row r="40" spans="5:25" x14ac:dyDescent="0.25">
      <c r="E40">
        <v>8697</v>
      </c>
      <c r="F40">
        <v>0</v>
      </c>
      <c r="H40">
        <v>8696.0040000000008</v>
      </c>
      <c r="I40">
        <v>0</v>
      </c>
      <c r="J40">
        <v>53.209999999999901</v>
      </c>
      <c r="K40">
        <v>53.209999999999901</v>
      </c>
      <c r="M40">
        <v>8696.0040000000008</v>
      </c>
      <c r="N40">
        <v>0</v>
      </c>
      <c r="P40">
        <v>8696.0040000000008</v>
      </c>
      <c r="Q40">
        <v>811824.63786005205</v>
      </c>
      <c r="R40">
        <v>0</v>
      </c>
      <c r="S40">
        <v>811824.63786005205</v>
      </c>
      <c r="U40">
        <v>8696.0040000000008</v>
      </c>
      <c r="V40">
        <v>156147.33338473699</v>
      </c>
      <c r="X40">
        <v>8696.0040000000008</v>
      </c>
      <c r="Y40">
        <v>33.377152828368899</v>
      </c>
    </row>
    <row r="41" spans="5:25" x14ac:dyDescent="0.25">
      <c r="E41">
        <v>8698</v>
      </c>
      <c r="F41">
        <v>0</v>
      </c>
      <c r="H41">
        <v>8697.0040000000008</v>
      </c>
      <c r="I41">
        <v>0</v>
      </c>
      <c r="J41">
        <v>63.499999999999901</v>
      </c>
      <c r="K41">
        <v>63.499999999999901</v>
      </c>
      <c r="M41">
        <v>8697.0040000000008</v>
      </c>
      <c r="N41">
        <v>0</v>
      </c>
      <c r="P41">
        <v>8697.0040000000008</v>
      </c>
      <c r="Q41">
        <v>811937.854860052</v>
      </c>
      <c r="R41">
        <v>0</v>
      </c>
      <c r="S41">
        <v>811937.854860052</v>
      </c>
      <c r="U41">
        <v>8697.0040000000008</v>
      </c>
      <c r="V41">
        <v>156189.156384737</v>
      </c>
      <c r="X41">
        <v>8697.0040000000008</v>
      </c>
      <c r="Y41">
        <v>41.8221528283689</v>
      </c>
    </row>
    <row r="42" spans="5:25" x14ac:dyDescent="0.25">
      <c r="E42">
        <v>8699</v>
      </c>
      <c r="F42">
        <v>0</v>
      </c>
      <c r="H42">
        <v>8698.0040000000008</v>
      </c>
      <c r="I42">
        <v>0</v>
      </c>
      <c r="J42">
        <v>68.569999999999894</v>
      </c>
      <c r="K42">
        <v>68.569999999999894</v>
      </c>
      <c r="M42">
        <v>8698.0040000000008</v>
      </c>
      <c r="N42">
        <v>0</v>
      </c>
      <c r="P42">
        <v>8698.0040000000008</v>
      </c>
      <c r="Q42">
        <v>812061.69686005195</v>
      </c>
      <c r="R42">
        <v>0</v>
      </c>
      <c r="S42">
        <v>812061.69686005195</v>
      </c>
      <c r="U42">
        <v>8698.0040000000008</v>
      </c>
      <c r="V42">
        <v>156233.17438473701</v>
      </c>
      <c r="X42">
        <v>8698.0040000000008</v>
      </c>
      <c r="Y42">
        <v>44.018152828368898</v>
      </c>
    </row>
    <row r="43" spans="5:25" x14ac:dyDescent="0.25">
      <c r="E43">
        <v>8700</v>
      </c>
      <c r="F43">
        <v>0</v>
      </c>
      <c r="H43">
        <v>8699.0040000000008</v>
      </c>
      <c r="I43">
        <v>0</v>
      </c>
      <c r="J43">
        <v>71.169999999999902</v>
      </c>
      <c r="K43">
        <v>71.169999999999902</v>
      </c>
      <c r="M43">
        <v>8699.0040000000008</v>
      </c>
      <c r="N43">
        <v>0</v>
      </c>
      <c r="P43">
        <v>8699.0040000000008</v>
      </c>
      <c r="Q43">
        <v>812174.51886005199</v>
      </c>
      <c r="R43">
        <v>0</v>
      </c>
      <c r="S43">
        <v>812174.51886005199</v>
      </c>
      <c r="U43">
        <v>8699.0040000000008</v>
      </c>
      <c r="V43">
        <v>156277.985384737</v>
      </c>
      <c r="X43">
        <v>8699.0040000000008</v>
      </c>
      <c r="Y43">
        <v>44.811152828368897</v>
      </c>
    </row>
    <row r="44" spans="5:25" x14ac:dyDescent="0.25">
      <c r="E44">
        <v>8701</v>
      </c>
      <c r="F44">
        <v>0</v>
      </c>
      <c r="H44">
        <v>8700.0040000000008</v>
      </c>
      <c r="I44">
        <v>0</v>
      </c>
      <c r="J44">
        <v>60.909999999999897</v>
      </c>
      <c r="K44">
        <v>60.909999999999897</v>
      </c>
      <c r="M44">
        <v>8700.0040000000008</v>
      </c>
      <c r="N44">
        <v>0</v>
      </c>
      <c r="P44">
        <v>8700.0040000000008</v>
      </c>
      <c r="Q44">
        <v>812267.71386005206</v>
      </c>
      <c r="R44">
        <v>0</v>
      </c>
      <c r="S44">
        <v>812267.71386005206</v>
      </c>
      <c r="U44">
        <v>8700.0040000000008</v>
      </c>
      <c r="V44">
        <v>156314.43538473701</v>
      </c>
      <c r="X44">
        <v>8700.0040000000008</v>
      </c>
      <c r="Y44">
        <v>36.4501528283689</v>
      </c>
    </row>
    <row r="45" spans="5:25" x14ac:dyDescent="0.25">
      <c r="E45">
        <v>8702</v>
      </c>
      <c r="F45">
        <v>0</v>
      </c>
      <c r="H45">
        <v>8701.0040000000008</v>
      </c>
      <c r="I45">
        <v>0</v>
      </c>
      <c r="J45">
        <v>60.499999999999901</v>
      </c>
      <c r="K45">
        <v>60.499999999999901</v>
      </c>
      <c r="M45">
        <v>8701.0040000000008</v>
      </c>
      <c r="N45">
        <v>0</v>
      </c>
      <c r="P45">
        <v>8701.0040000000008</v>
      </c>
      <c r="Q45">
        <v>812356.67086005199</v>
      </c>
      <c r="R45">
        <v>0</v>
      </c>
      <c r="S45">
        <v>812356.67086005199</v>
      </c>
      <c r="U45">
        <v>8701.0040000000008</v>
      </c>
      <c r="V45">
        <v>156347.23438473701</v>
      </c>
      <c r="X45">
        <v>8701.0040000000008</v>
      </c>
      <c r="Y45">
        <v>32.799152828368896</v>
      </c>
    </row>
    <row r="46" spans="5:25" x14ac:dyDescent="0.25">
      <c r="E46">
        <v>8703</v>
      </c>
      <c r="F46">
        <v>0</v>
      </c>
      <c r="H46">
        <v>8702.0040000000008</v>
      </c>
      <c r="I46">
        <v>0</v>
      </c>
      <c r="J46">
        <v>61.509999999999899</v>
      </c>
      <c r="K46">
        <v>61.509999999999899</v>
      </c>
      <c r="M46">
        <v>8702.0040000000008</v>
      </c>
      <c r="N46">
        <v>0</v>
      </c>
      <c r="P46">
        <v>8702.0040000000008</v>
      </c>
      <c r="Q46">
        <v>812443.71786005201</v>
      </c>
      <c r="R46">
        <v>0</v>
      </c>
      <c r="S46">
        <v>812443.71786005201</v>
      </c>
      <c r="U46">
        <v>8702.0040000000008</v>
      </c>
      <c r="V46">
        <v>156376.351384737</v>
      </c>
      <c r="X46">
        <v>8702.0040000000008</v>
      </c>
      <c r="Y46">
        <v>29.117152828368901</v>
      </c>
    </row>
    <row r="47" spans="5:25" x14ac:dyDescent="0.25">
      <c r="E47">
        <v>8704</v>
      </c>
      <c r="F47">
        <v>0</v>
      </c>
      <c r="H47">
        <v>8703.0040000000008</v>
      </c>
      <c r="I47">
        <v>0</v>
      </c>
      <c r="J47">
        <v>66.629999999999896</v>
      </c>
      <c r="K47">
        <v>66.629999999999896</v>
      </c>
      <c r="M47">
        <v>8703.0040000000008</v>
      </c>
      <c r="N47">
        <v>0</v>
      </c>
      <c r="P47">
        <v>8703.0040000000008</v>
      </c>
      <c r="Q47">
        <v>812537.16486005206</v>
      </c>
      <c r="R47">
        <v>0</v>
      </c>
      <c r="S47">
        <v>812537.16486005206</v>
      </c>
      <c r="U47">
        <v>8703.0040000000008</v>
      </c>
      <c r="V47">
        <v>156402.854384737</v>
      </c>
      <c r="X47">
        <v>8703.0040000000008</v>
      </c>
      <c r="Y47">
        <v>26.503152828368901</v>
      </c>
    </row>
    <row r="48" spans="5:25" x14ac:dyDescent="0.25">
      <c r="E48">
        <v>8705</v>
      </c>
      <c r="F48">
        <v>0</v>
      </c>
      <c r="H48">
        <v>8704.0040000000008</v>
      </c>
      <c r="I48">
        <v>0</v>
      </c>
      <c r="J48">
        <v>85.229999999999905</v>
      </c>
      <c r="K48">
        <v>85.229999999999905</v>
      </c>
      <c r="M48">
        <v>8704.0040000000008</v>
      </c>
      <c r="N48">
        <v>0</v>
      </c>
      <c r="P48">
        <v>8704.0040000000008</v>
      </c>
      <c r="Q48">
        <v>812659.43186005205</v>
      </c>
      <c r="R48">
        <v>0</v>
      </c>
      <c r="S48">
        <v>812659.43186005205</v>
      </c>
      <c r="U48">
        <v>8704.0040000000008</v>
      </c>
      <c r="V48">
        <v>156432.221384737</v>
      </c>
      <c r="X48">
        <v>8704.0040000000008</v>
      </c>
      <c r="Y48">
        <v>29.367152828368901</v>
      </c>
    </row>
    <row r="49" spans="5:25" x14ac:dyDescent="0.25">
      <c r="E49">
        <v>8706</v>
      </c>
      <c r="F49">
        <v>0</v>
      </c>
      <c r="H49">
        <v>8705.0040000000008</v>
      </c>
      <c r="I49">
        <v>0</v>
      </c>
      <c r="J49">
        <v>110.709999999999</v>
      </c>
      <c r="K49">
        <v>110.709999999999</v>
      </c>
      <c r="M49">
        <v>8705.0040000000008</v>
      </c>
      <c r="N49">
        <v>0</v>
      </c>
      <c r="P49">
        <v>8705.0040000000008</v>
      </c>
      <c r="Q49">
        <v>812813.79186005204</v>
      </c>
      <c r="R49">
        <v>0</v>
      </c>
      <c r="S49">
        <v>812813.79186005204</v>
      </c>
      <c r="U49">
        <v>8705.0040000000008</v>
      </c>
      <c r="V49">
        <v>156467.50838473701</v>
      </c>
      <c r="X49">
        <v>8705.0040000000008</v>
      </c>
      <c r="Y49">
        <v>35.286152828368898</v>
      </c>
    </row>
    <row r="50" spans="5:25" x14ac:dyDescent="0.25">
      <c r="E50">
        <v>8707</v>
      </c>
      <c r="F50">
        <v>0</v>
      </c>
      <c r="H50">
        <v>8706.0040000000008</v>
      </c>
      <c r="I50">
        <v>0</v>
      </c>
      <c r="J50">
        <v>117.83999999999899</v>
      </c>
      <c r="K50">
        <v>117.83999999999899</v>
      </c>
      <c r="M50">
        <v>8706.0040000000008</v>
      </c>
      <c r="N50">
        <v>0</v>
      </c>
      <c r="P50">
        <v>8706.0040000000008</v>
      </c>
      <c r="Q50">
        <v>812972.55486005195</v>
      </c>
      <c r="R50">
        <v>0</v>
      </c>
      <c r="S50">
        <v>812972.55486005195</v>
      </c>
      <c r="U50">
        <v>8706.0040000000008</v>
      </c>
      <c r="V50">
        <v>156498.51538473699</v>
      </c>
      <c r="X50">
        <v>8706.0040000000008</v>
      </c>
      <c r="Y50">
        <v>31.007152828368898</v>
      </c>
    </row>
    <row r="51" spans="5:25" x14ac:dyDescent="0.25">
      <c r="E51">
        <v>8708</v>
      </c>
      <c r="F51">
        <v>0</v>
      </c>
      <c r="H51">
        <v>8707.0040000000008</v>
      </c>
      <c r="I51">
        <v>0</v>
      </c>
      <c r="J51">
        <v>96.079999999999899</v>
      </c>
      <c r="K51">
        <v>96.079999999999899</v>
      </c>
      <c r="M51">
        <v>8707.0040000000008</v>
      </c>
      <c r="N51">
        <v>0</v>
      </c>
      <c r="P51">
        <v>8707.0040000000008</v>
      </c>
      <c r="Q51">
        <v>813090.38986005203</v>
      </c>
      <c r="R51">
        <v>0</v>
      </c>
      <c r="S51">
        <v>813090.38986005203</v>
      </c>
      <c r="U51">
        <v>8707.0040000000008</v>
      </c>
      <c r="V51">
        <v>156520.20838473699</v>
      </c>
      <c r="X51">
        <v>8707.0040000000008</v>
      </c>
      <c r="Y51">
        <v>21.693152828368898</v>
      </c>
    </row>
    <row r="52" spans="5:25" x14ac:dyDescent="0.25">
      <c r="E52">
        <v>8709</v>
      </c>
      <c r="F52">
        <v>0</v>
      </c>
      <c r="H52">
        <v>8708.0040000000008</v>
      </c>
      <c r="I52">
        <v>0</v>
      </c>
      <c r="J52">
        <v>89.249999999999901</v>
      </c>
      <c r="K52">
        <v>89.249999999999901</v>
      </c>
      <c r="M52">
        <v>8708.0040000000008</v>
      </c>
      <c r="N52">
        <v>0</v>
      </c>
      <c r="P52">
        <v>8708.0040000000008</v>
      </c>
      <c r="Q52">
        <v>813176.41186005203</v>
      </c>
      <c r="R52">
        <v>0</v>
      </c>
      <c r="S52">
        <v>813176.41186005203</v>
      </c>
      <c r="U52">
        <v>8708.0040000000008</v>
      </c>
      <c r="V52">
        <v>156537.167384737</v>
      </c>
      <c r="X52">
        <v>8708.0040000000008</v>
      </c>
      <c r="Y52">
        <v>16.9591528283689</v>
      </c>
    </row>
    <row r="53" spans="5:25" x14ac:dyDescent="0.25">
      <c r="E53">
        <v>8710</v>
      </c>
      <c r="F53">
        <v>0</v>
      </c>
      <c r="H53">
        <v>8709.0040000000008</v>
      </c>
      <c r="I53">
        <v>0</v>
      </c>
      <c r="J53">
        <v>72.969999999999899</v>
      </c>
      <c r="K53">
        <v>72.969999999999899</v>
      </c>
      <c r="M53">
        <v>8709.0040000000008</v>
      </c>
      <c r="N53">
        <v>0</v>
      </c>
      <c r="P53">
        <v>8709.0040000000008</v>
      </c>
      <c r="Q53">
        <v>813245.43686005205</v>
      </c>
      <c r="R53">
        <v>0</v>
      </c>
      <c r="S53">
        <v>813245.43686005205</v>
      </c>
      <c r="U53">
        <v>8709.0040000000008</v>
      </c>
      <c r="V53">
        <v>156550.57338473701</v>
      </c>
      <c r="X53">
        <v>8709.0040000000008</v>
      </c>
      <c r="Y53">
        <v>13.406152828368899</v>
      </c>
    </row>
    <row r="54" spans="5:25" x14ac:dyDescent="0.25">
      <c r="E54">
        <v>8711</v>
      </c>
      <c r="F54">
        <v>0</v>
      </c>
      <c r="H54">
        <v>8710.0040000000008</v>
      </c>
      <c r="I54">
        <v>0</v>
      </c>
      <c r="J54">
        <v>66.8599999999999</v>
      </c>
      <c r="K54">
        <v>66.8599999999999</v>
      </c>
      <c r="M54">
        <v>8710.0040000000008</v>
      </c>
      <c r="N54">
        <v>0</v>
      </c>
      <c r="P54">
        <v>8710.0040000000008</v>
      </c>
      <c r="Q54">
        <v>813306.83586005203</v>
      </c>
      <c r="R54">
        <v>0</v>
      </c>
      <c r="S54">
        <v>813306.83586005203</v>
      </c>
      <c r="U54">
        <v>8710.0040000000008</v>
      </c>
      <c r="V54">
        <v>156561.846384737</v>
      </c>
      <c r="X54">
        <v>8710.0040000000008</v>
      </c>
      <c r="Y54">
        <v>11.2731528283689</v>
      </c>
    </row>
    <row r="55" spans="5:25" x14ac:dyDescent="0.25">
      <c r="E55">
        <v>8712</v>
      </c>
      <c r="F55">
        <v>0</v>
      </c>
      <c r="H55">
        <v>8711.0040000000008</v>
      </c>
      <c r="I55">
        <v>0</v>
      </c>
      <c r="J55">
        <v>55.309999999999903</v>
      </c>
      <c r="K55">
        <v>55.309999999999903</v>
      </c>
      <c r="M55">
        <v>8711.0040000000008</v>
      </c>
      <c r="N55">
        <v>0</v>
      </c>
      <c r="P55">
        <v>8711.0040000000008</v>
      </c>
      <c r="Q55">
        <v>813355.56486005196</v>
      </c>
      <c r="R55">
        <v>0</v>
      </c>
      <c r="S55">
        <v>813355.56486005196</v>
      </c>
      <c r="U55">
        <v>8711.0040000000008</v>
      </c>
      <c r="V55">
        <v>156570.778384737</v>
      </c>
      <c r="X55">
        <v>8711.0040000000008</v>
      </c>
      <c r="Y55">
        <v>8.9311528283689796</v>
      </c>
    </row>
    <row r="56" spans="5:25" x14ac:dyDescent="0.25">
      <c r="E56">
        <v>8713</v>
      </c>
      <c r="F56">
        <v>0</v>
      </c>
      <c r="H56">
        <v>8712.0040000000008</v>
      </c>
      <c r="I56">
        <v>0</v>
      </c>
      <c r="J56">
        <v>43.079999999999899</v>
      </c>
      <c r="K56">
        <v>43.079999999999899</v>
      </c>
      <c r="M56">
        <v>8712.0040000000008</v>
      </c>
      <c r="N56">
        <v>0</v>
      </c>
      <c r="P56">
        <v>8712.0040000000008</v>
      </c>
      <c r="Q56">
        <v>813402.26086005196</v>
      </c>
      <c r="R56">
        <v>0</v>
      </c>
      <c r="S56">
        <v>813402.26086005196</v>
      </c>
      <c r="U56">
        <v>8712.0040000000008</v>
      </c>
      <c r="V56">
        <v>156577.542384737</v>
      </c>
      <c r="X56">
        <v>8712.0040000000008</v>
      </c>
      <c r="Y56">
        <v>6.7641528283689798</v>
      </c>
    </row>
    <row r="57" spans="5:25" x14ac:dyDescent="0.25">
      <c r="E57">
        <v>8714</v>
      </c>
      <c r="F57">
        <v>0</v>
      </c>
      <c r="H57">
        <v>8713.0040000000008</v>
      </c>
      <c r="I57">
        <v>0</v>
      </c>
      <c r="J57">
        <v>35.169999999999902</v>
      </c>
      <c r="K57">
        <v>35.169999999999902</v>
      </c>
      <c r="M57">
        <v>8713.0040000000008</v>
      </c>
      <c r="N57">
        <v>0</v>
      </c>
      <c r="P57">
        <v>8713.0040000000008</v>
      </c>
      <c r="Q57">
        <v>813439.96386005206</v>
      </c>
      <c r="R57">
        <v>0</v>
      </c>
      <c r="S57">
        <v>813439.96386005206</v>
      </c>
      <c r="U57">
        <v>8713.0040000000008</v>
      </c>
      <c r="V57">
        <v>156582.51138473701</v>
      </c>
      <c r="X57">
        <v>8713.0040000000008</v>
      </c>
      <c r="Y57">
        <v>4.9691528283689799</v>
      </c>
    </row>
    <row r="58" spans="5:25" x14ac:dyDescent="0.25">
      <c r="E58">
        <v>8715</v>
      </c>
      <c r="F58">
        <v>0</v>
      </c>
      <c r="H58">
        <v>8714.0040000000008</v>
      </c>
      <c r="I58">
        <v>0</v>
      </c>
      <c r="J58">
        <v>33.869999999999898</v>
      </c>
      <c r="K58">
        <v>33.869999999999898</v>
      </c>
      <c r="M58">
        <v>8714.0040000000008</v>
      </c>
      <c r="N58">
        <v>0</v>
      </c>
      <c r="P58">
        <v>8714.0040000000008</v>
      </c>
      <c r="Q58">
        <v>813475.99486005201</v>
      </c>
      <c r="R58">
        <v>0</v>
      </c>
      <c r="S58">
        <v>813475.99486005201</v>
      </c>
      <c r="U58">
        <v>8714.0040000000008</v>
      </c>
      <c r="V58">
        <v>156587.47038473701</v>
      </c>
      <c r="X58">
        <v>8714.0040000000008</v>
      </c>
      <c r="Y58">
        <v>4.9591528283689801</v>
      </c>
    </row>
    <row r="59" spans="5:25" x14ac:dyDescent="0.25">
      <c r="E59">
        <v>8716</v>
      </c>
      <c r="F59">
        <v>0</v>
      </c>
      <c r="H59">
        <v>8715.0040000000008</v>
      </c>
      <c r="I59">
        <v>0</v>
      </c>
      <c r="J59">
        <v>31.6299999999999</v>
      </c>
      <c r="K59">
        <v>31.6299999999999</v>
      </c>
      <c r="M59">
        <v>8715.0040000000008</v>
      </c>
      <c r="N59">
        <v>0</v>
      </c>
      <c r="P59">
        <v>8715.0040000000008</v>
      </c>
      <c r="Q59">
        <v>813508.79286005197</v>
      </c>
      <c r="R59">
        <v>0</v>
      </c>
      <c r="S59">
        <v>813508.79286005197</v>
      </c>
      <c r="U59">
        <v>8715.0040000000008</v>
      </c>
      <c r="V59">
        <v>156592.604384737</v>
      </c>
      <c r="X59">
        <v>8715.0040000000008</v>
      </c>
      <c r="Y59">
        <v>5.1341528283689799</v>
      </c>
    </row>
    <row r="60" spans="5:25" x14ac:dyDescent="0.25">
      <c r="E60">
        <v>8717</v>
      </c>
      <c r="F60">
        <v>0</v>
      </c>
      <c r="H60">
        <v>8716.0040000000008</v>
      </c>
      <c r="I60">
        <v>0</v>
      </c>
      <c r="J60">
        <v>31.049999999999901</v>
      </c>
      <c r="K60">
        <v>31.049999999999901</v>
      </c>
      <c r="M60">
        <v>8716.0040000000008</v>
      </c>
      <c r="N60">
        <v>0</v>
      </c>
      <c r="P60">
        <v>8716.0040000000008</v>
      </c>
      <c r="Q60">
        <v>813541.26786005194</v>
      </c>
      <c r="R60">
        <v>0</v>
      </c>
      <c r="S60">
        <v>813541.26786005194</v>
      </c>
      <c r="U60">
        <v>8716.0040000000008</v>
      </c>
      <c r="V60">
        <v>156597.00738473699</v>
      </c>
      <c r="X60">
        <v>8716.0040000000008</v>
      </c>
      <c r="Y60">
        <v>4.40315282836898</v>
      </c>
    </row>
    <row r="61" spans="5:25" x14ac:dyDescent="0.25">
      <c r="E61">
        <v>8718</v>
      </c>
      <c r="F61">
        <v>0</v>
      </c>
      <c r="H61">
        <v>8717.0040000000008</v>
      </c>
      <c r="I61">
        <v>0</v>
      </c>
      <c r="J61">
        <v>33.509999999999899</v>
      </c>
      <c r="K61">
        <v>33.509999999999899</v>
      </c>
      <c r="M61">
        <v>8717.0040000000008</v>
      </c>
      <c r="N61">
        <v>0</v>
      </c>
      <c r="P61">
        <v>8717.0040000000008</v>
      </c>
      <c r="Q61">
        <v>813577.04086005199</v>
      </c>
      <c r="R61">
        <v>0</v>
      </c>
      <c r="S61">
        <v>813577.04086005199</v>
      </c>
      <c r="U61">
        <v>8717.0040000000008</v>
      </c>
      <c r="V61">
        <v>156601.555384737</v>
      </c>
      <c r="X61">
        <v>8717.0040000000008</v>
      </c>
      <c r="Y61">
        <v>4.5481528283689796</v>
      </c>
    </row>
    <row r="62" spans="5:25" x14ac:dyDescent="0.25">
      <c r="E62">
        <v>8719</v>
      </c>
      <c r="F62">
        <v>0</v>
      </c>
      <c r="H62">
        <v>8718.0040000000008</v>
      </c>
      <c r="I62">
        <v>0</v>
      </c>
      <c r="J62">
        <v>41.019999999999897</v>
      </c>
      <c r="K62">
        <v>41.019999999999897</v>
      </c>
      <c r="M62">
        <v>8718.0040000000008</v>
      </c>
      <c r="N62">
        <v>0</v>
      </c>
      <c r="P62">
        <v>8718.0040000000008</v>
      </c>
      <c r="Q62">
        <v>813621.28986005206</v>
      </c>
      <c r="R62">
        <v>0</v>
      </c>
      <c r="S62">
        <v>813621.28986005206</v>
      </c>
      <c r="U62">
        <v>8718.0040000000008</v>
      </c>
      <c r="V62">
        <v>156607.702384737</v>
      </c>
      <c r="X62">
        <v>8718.0040000000008</v>
      </c>
      <c r="Y62">
        <v>6.1471528283689798</v>
      </c>
    </row>
    <row r="63" spans="5:25" x14ac:dyDescent="0.25">
      <c r="E63">
        <v>8720</v>
      </c>
      <c r="F63">
        <v>0</v>
      </c>
      <c r="H63">
        <v>8719.0040000000008</v>
      </c>
      <c r="I63">
        <v>0</v>
      </c>
      <c r="J63">
        <v>47.339999999999897</v>
      </c>
      <c r="K63">
        <v>47.339999999999897</v>
      </c>
      <c r="M63">
        <v>8719.0040000000008</v>
      </c>
      <c r="N63">
        <v>0</v>
      </c>
      <c r="P63">
        <v>8719.0040000000008</v>
      </c>
      <c r="Q63">
        <v>813672.28486005205</v>
      </c>
      <c r="R63">
        <v>0</v>
      </c>
      <c r="S63">
        <v>813672.28486005205</v>
      </c>
      <c r="U63">
        <v>8719.0040000000008</v>
      </c>
      <c r="V63">
        <v>156616.39438473701</v>
      </c>
      <c r="X63">
        <v>8719.0040000000008</v>
      </c>
      <c r="Y63">
        <v>8.6921528283689806</v>
      </c>
    </row>
    <row r="64" spans="5:25" x14ac:dyDescent="0.25">
      <c r="E64">
        <v>8721</v>
      </c>
      <c r="F64">
        <v>0</v>
      </c>
      <c r="H64">
        <v>8720.0040000000008</v>
      </c>
      <c r="I64">
        <v>0</v>
      </c>
      <c r="J64">
        <v>61.1099999999999</v>
      </c>
      <c r="K64">
        <v>61.1099999999999</v>
      </c>
      <c r="M64">
        <v>8720.0040000000008</v>
      </c>
      <c r="N64">
        <v>0</v>
      </c>
      <c r="P64">
        <v>8720.0040000000008</v>
      </c>
      <c r="Q64">
        <v>813738.47886005195</v>
      </c>
      <c r="R64">
        <v>0</v>
      </c>
      <c r="S64">
        <v>813738.47886005195</v>
      </c>
      <c r="U64">
        <v>8720.0040000000008</v>
      </c>
      <c r="V64">
        <v>156629.226384737</v>
      </c>
      <c r="X64">
        <v>8720.0040000000008</v>
      </c>
      <c r="Y64">
        <v>12.832152828368899</v>
      </c>
    </row>
    <row r="65" spans="5:25" x14ac:dyDescent="0.25">
      <c r="E65">
        <v>8722</v>
      </c>
      <c r="F65">
        <v>0</v>
      </c>
      <c r="H65">
        <v>8721.0040000000008</v>
      </c>
      <c r="I65">
        <v>0</v>
      </c>
      <c r="J65">
        <v>66.899999999999906</v>
      </c>
      <c r="K65">
        <v>66.899999999999906</v>
      </c>
      <c r="M65">
        <v>8721.0040000000008</v>
      </c>
      <c r="N65">
        <v>0</v>
      </c>
      <c r="P65">
        <v>8721.0040000000008</v>
      </c>
      <c r="Q65">
        <v>813811.54386005201</v>
      </c>
      <c r="R65">
        <v>0</v>
      </c>
      <c r="S65">
        <v>813811.54386005201</v>
      </c>
      <c r="U65">
        <v>8721.0040000000008</v>
      </c>
      <c r="V65">
        <v>156643.18738473699</v>
      </c>
      <c r="X65">
        <v>8721.0040000000008</v>
      </c>
      <c r="Y65">
        <v>13.9601528283689</v>
      </c>
    </row>
    <row r="66" spans="5:25" x14ac:dyDescent="0.25">
      <c r="E66">
        <v>8723</v>
      </c>
      <c r="F66">
        <v>0</v>
      </c>
      <c r="H66">
        <v>8722.0040000000008</v>
      </c>
      <c r="I66">
        <v>0</v>
      </c>
      <c r="J66">
        <v>63.209999999999901</v>
      </c>
      <c r="K66">
        <v>63.209999999999901</v>
      </c>
      <c r="M66">
        <v>8722.0040000000008</v>
      </c>
      <c r="N66">
        <v>0</v>
      </c>
      <c r="P66">
        <v>8722.0040000000008</v>
      </c>
      <c r="Q66">
        <v>813880.577860052</v>
      </c>
      <c r="R66">
        <v>0</v>
      </c>
      <c r="S66">
        <v>813880.577860052</v>
      </c>
      <c r="U66">
        <v>8722.0040000000008</v>
      </c>
      <c r="V66">
        <v>156656.10238473699</v>
      </c>
      <c r="X66">
        <v>8722.0040000000008</v>
      </c>
      <c r="Y66">
        <v>12.9151528283689</v>
      </c>
    </row>
    <row r="67" spans="5:25" x14ac:dyDescent="0.25">
      <c r="E67">
        <v>8724</v>
      </c>
      <c r="F67">
        <v>0</v>
      </c>
      <c r="H67">
        <v>8723.0040000000008</v>
      </c>
      <c r="I67">
        <v>0</v>
      </c>
      <c r="J67">
        <v>64.159999999999897</v>
      </c>
      <c r="K67">
        <v>64.159999999999897</v>
      </c>
      <c r="M67">
        <v>8723.0040000000008</v>
      </c>
      <c r="N67">
        <v>0</v>
      </c>
      <c r="P67">
        <v>8723.0040000000008</v>
      </c>
      <c r="Q67">
        <v>813950.69786005199</v>
      </c>
      <c r="R67">
        <v>0</v>
      </c>
      <c r="S67">
        <v>813950.69786005199</v>
      </c>
      <c r="U67">
        <v>8723.0040000000008</v>
      </c>
      <c r="V67">
        <v>156669.50738473699</v>
      </c>
      <c r="X67">
        <v>8723.0040000000008</v>
      </c>
      <c r="Y67">
        <v>13.4051528283689</v>
      </c>
    </row>
    <row r="68" spans="5:25" x14ac:dyDescent="0.25">
      <c r="E68">
        <v>8725</v>
      </c>
      <c r="F68">
        <v>0</v>
      </c>
      <c r="H68">
        <v>8724.0040000000008</v>
      </c>
      <c r="I68">
        <v>0</v>
      </c>
      <c r="J68">
        <v>63.189999999999898</v>
      </c>
      <c r="K68">
        <v>63.189999999999898</v>
      </c>
      <c r="M68">
        <v>8724.0040000000008</v>
      </c>
      <c r="N68">
        <v>0</v>
      </c>
      <c r="P68">
        <v>8724.0040000000008</v>
      </c>
      <c r="Q68">
        <v>814020.74786005204</v>
      </c>
      <c r="R68">
        <v>0</v>
      </c>
      <c r="S68">
        <v>814020.74786005204</v>
      </c>
      <c r="U68">
        <v>8724.0040000000008</v>
      </c>
      <c r="V68">
        <v>156683.13038473701</v>
      </c>
      <c r="X68">
        <v>8724.0040000000008</v>
      </c>
      <c r="Y68">
        <v>13.6231528283689</v>
      </c>
    </row>
    <row r="69" spans="5:25" x14ac:dyDescent="0.25">
      <c r="E69">
        <v>8726</v>
      </c>
      <c r="F69">
        <v>0</v>
      </c>
      <c r="H69">
        <v>8725.0040000000008</v>
      </c>
      <c r="I69">
        <v>0</v>
      </c>
      <c r="J69">
        <v>66.649999999999906</v>
      </c>
      <c r="K69">
        <v>66.649999999999906</v>
      </c>
      <c r="M69">
        <v>8725.0040000000008</v>
      </c>
      <c r="N69">
        <v>0</v>
      </c>
      <c r="P69">
        <v>8725.0040000000008</v>
      </c>
      <c r="Q69">
        <v>814094.83186005196</v>
      </c>
      <c r="R69">
        <v>0</v>
      </c>
      <c r="S69">
        <v>814094.83186005196</v>
      </c>
      <c r="U69">
        <v>8725.0040000000008</v>
      </c>
      <c r="V69">
        <v>156698.49738473701</v>
      </c>
      <c r="X69">
        <v>8725.0040000000008</v>
      </c>
      <c r="Y69">
        <v>15.3671528283689</v>
      </c>
    </row>
    <row r="70" spans="5:25" x14ac:dyDescent="0.25">
      <c r="E70">
        <v>8727</v>
      </c>
      <c r="F70">
        <v>0</v>
      </c>
      <c r="H70">
        <v>8726.0040000000008</v>
      </c>
      <c r="I70">
        <v>0</v>
      </c>
      <c r="J70">
        <v>63.389999999999901</v>
      </c>
      <c r="K70">
        <v>63.389999999999901</v>
      </c>
      <c r="M70">
        <v>8726.0040000000008</v>
      </c>
      <c r="N70">
        <v>0</v>
      </c>
      <c r="P70">
        <v>8726.0040000000008</v>
      </c>
      <c r="Q70">
        <v>814165.67086005199</v>
      </c>
      <c r="R70">
        <v>0</v>
      </c>
      <c r="S70">
        <v>814165.67086005199</v>
      </c>
      <c r="U70">
        <v>8726.0040000000008</v>
      </c>
      <c r="V70">
        <v>156714.02738473701</v>
      </c>
      <c r="X70">
        <v>8726.0040000000008</v>
      </c>
      <c r="Y70">
        <v>15.5291528283689</v>
      </c>
    </row>
    <row r="71" spans="5:25" x14ac:dyDescent="0.25">
      <c r="E71">
        <v>8728</v>
      </c>
      <c r="F71">
        <v>0</v>
      </c>
      <c r="H71">
        <v>8727.0040000000008</v>
      </c>
      <c r="I71">
        <v>0</v>
      </c>
      <c r="J71">
        <v>77.489999999999895</v>
      </c>
      <c r="K71">
        <v>77.489999999999895</v>
      </c>
      <c r="M71">
        <v>8727.0040000000008</v>
      </c>
      <c r="N71">
        <v>0</v>
      </c>
      <c r="P71">
        <v>8727.0040000000008</v>
      </c>
      <c r="Q71">
        <v>814251.51486005203</v>
      </c>
      <c r="R71">
        <v>0</v>
      </c>
      <c r="S71">
        <v>814251.51486005203</v>
      </c>
      <c r="U71">
        <v>8727.0040000000008</v>
      </c>
      <c r="V71">
        <v>156735.873384737</v>
      </c>
      <c r="X71">
        <v>8727.0040000000008</v>
      </c>
      <c r="Y71">
        <v>21.846152828368901</v>
      </c>
    </row>
    <row r="72" spans="5:25" x14ac:dyDescent="0.25">
      <c r="E72">
        <v>8729</v>
      </c>
      <c r="F72">
        <v>0</v>
      </c>
      <c r="H72">
        <v>8728.0040000000008</v>
      </c>
      <c r="I72">
        <v>0</v>
      </c>
      <c r="J72">
        <v>84.709999999999894</v>
      </c>
      <c r="K72">
        <v>84.709999999999894</v>
      </c>
      <c r="M72">
        <v>8728.0040000000008</v>
      </c>
      <c r="N72">
        <v>0</v>
      </c>
      <c r="P72">
        <v>8728.0040000000008</v>
      </c>
      <c r="Q72">
        <v>814350.854860052</v>
      </c>
      <c r="R72">
        <v>0</v>
      </c>
      <c r="S72">
        <v>814350.854860052</v>
      </c>
      <c r="U72">
        <v>8728.0040000000008</v>
      </c>
      <c r="V72">
        <v>156761.186384737</v>
      </c>
      <c r="X72">
        <v>8728.0040000000008</v>
      </c>
      <c r="Y72">
        <v>25.313152828368899</v>
      </c>
    </row>
    <row r="73" spans="5:25" x14ac:dyDescent="0.25">
      <c r="E73">
        <v>8730</v>
      </c>
      <c r="F73">
        <v>0</v>
      </c>
      <c r="H73">
        <v>8729.0040000000008</v>
      </c>
      <c r="I73">
        <v>0</v>
      </c>
      <c r="J73">
        <v>108.789999999999</v>
      </c>
      <c r="K73">
        <v>108.789999999999</v>
      </c>
      <c r="M73">
        <v>8729.0040000000008</v>
      </c>
      <c r="N73">
        <v>0</v>
      </c>
      <c r="P73">
        <v>8729.0040000000008</v>
      </c>
      <c r="Q73">
        <v>814484.92686005204</v>
      </c>
      <c r="R73">
        <v>0</v>
      </c>
      <c r="S73">
        <v>814484.92686005204</v>
      </c>
      <c r="U73">
        <v>8729.0040000000008</v>
      </c>
      <c r="V73">
        <v>156795.42438473701</v>
      </c>
      <c r="X73">
        <v>8729.0040000000008</v>
      </c>
      <c r="Y73">
        <v>34.238152828368897</v>
      </c>
    </row>
    <row r="74" spans="5:25" x14ac:dyDescent="0.25">
      <c r="E74">
        <v>8731</v>
      </c>
      <c r="F74">
        <v>0</v>
      </c>
      <c r="H74">
        <v>8730.0040000000008</v>
      </c>
      <c r="I74">
        <v>0</v>
      </c>
      <c r="J74">
        <v>105.819999999999</v>
      </c>
      <c r="K74">
        <v>105.819999999999</v>
      </c>
      <c r="M74">
        <v>8730.0040000000008</v>
      </c>
      <c r="N74">
        <v>0</v>
      </c>
      <c r="P74">
        <v>8730.0040000000008</v>
      </c>
      <c r="Q74">
        <v>814612.49686005199</v>
      </c>
      <c r="R74">
        <v>0</v>
      </c>
      <c r="S74">
        <v>814612.49686005199</v>
      </c>
      <c r="U74">
        <v>8730.0040000000008</v>
      </c>
      <c r="V74">
        <v>156827.24438473699</v>
      </c>
      <c r="X74">
        <v>8730.0040000000008</v>
      </c>
      <c r="Y74">
        <v>31.8191528283689</v>
      </c>
    </row>
    <row r="75" spans="5:25" x14ac:dyDescent="0.25">
      <c r="E75">
        <v>8732</v>
      </c>
      <c r="F75">
        <v>0</v>
      </c>
      <c r="H75">
        <v>8731.0040000000008</v>
      </c>
      <c r="I75">
        <v>0</v>
      </c>
      <c r="J75">
        <v>88.809999999999903</v>
      </c>
      <c r="K75">
        <v>88.809999999999903</v>
      </c>
      <c r="M75">
        <v>8731.0040000000008</v>
      </c>
      <c r="N75">
        <v>0</v>
      </c>
      <c r="P75">
        <v>8731.0040000000008</v>
      </c>
      <c r="Q75">
        <v>814718.16886005201</v>
      </c>
      <c r="R75">
        <v>0</v>
      </c>
      <c r="S75">
        <v>814718.16886005201</v>
      </c>
      <c r="U75">
        <v>8731.0040000000008</v>
      </c>
      <c r="V75">
        <v>156852.433384737</v>
      </c>
      <c r="X75">
        <v>8731.0040000000008</v>
      </c>
      <c r="Y75">
        <v>25.189152828368901</v>
      </c>
    </row>
    <row r="76" spans="5:25" x14ac:dyDescent="0.25">
      <c r="E76">
        <v>8733</v>
      </c>
      <c r="F76">
        <v>0</v>
      </c>
      <c r="H76">
        <v>8732.0040000000008</v>
      </c>
      <c r="I76">
        <v>0</v>
      </c>
      <c r="J76">
        <v>89.599999999999895</v>
      </c>
      <c r="K76">
        <v>89.599999999999895</v>
      </c>
      <c r="M76">
        <v>8732.0040000000008</v>
      </c>
      <c r="N76">
        <v>0</v>
      </c>
      <c r="P76">
        <v>8732.0040000000008</v>
      </c>
      <c r="Q76">
        <v>814824.58086005202</v>
      </c>
      <c r="R76">
        <v>0</v>
      </c>
      <c r="S76">
        <v>814824.58086005202</v>
      </c>
      <c r="U76">
        <v>8732.0040000000008</v>
      </c>
      <c r="V76">
        <v>156873.28338473701</v>
      </c>
      <c r="X76">
        <v>8732.0040000000008</v>
      </c>
      <c r="Y76">
        <v>20.850152828368898</v>
      </c>
    </row>
    <row r="77" spans="5:25" x14ac:dyDescent="0.25">
      <c r="E77">
        <v>8734</v>
      </c>
      <c r="F77">
        <v>0</v>
      </c>
      <c r="H77">
        <v>8733.0040000000008</v>
      </c>
      <c r="I77">
        <v>0</v>
      </c>
      <c r="J77">
        <v>83.809999999999903</v>
      </c>
      <c r="K77">
        <v>83.809999999999903</v>
      </c>
      <c r="M77">
        <v>8733.0040000000008</v>
      </c>
      <c r="N77">
        <v>0</v>
      </c>
      <c r="P77">
        <v>8733.0040000000008</v>
      </c>
      <c r="Q77">
        <v>814924.42886005202</v>
      </c>
      <c r="R77">
        <v>0</v>
      </c>
      <c r="S77">
        <v>814924.42886005202</v>
      </c>
      <c r="U77">
        <v>8733.0040000000008</v>
      </c>
      <c r="V77">
        <v>156893.00038473701</v>
      </c>
      <c r="X77">
        <v>8733.0040000000008</v>
      </c>
      <c r="Y77">
        <v>19.716152828368902</v>
      </c>
    </row>
    <row r="78" spans="5:25" x14ac:dyDescent="0.25">
      <c r="E78">
        <v>8735</v>
      </c>
      <c r="F78">
        <v>0</v>
      </c>
      <c r="H78">
        <v>8734.0040000000008</v>
      </c>
      <c r="I78">
        <v>0</v>
      </c>
      <c r="J78">
        <v>71.009999999999906</v>
      </c>
      <c r="K78">
        <v>71.009999999999906</v>
      </c>
      <c r="M78">
        <v>8734.0040000000008</v>
      </c>
      <c r="N78">
        <v>0</v>
      </c>
      <c r="P78">
        <v>8734.0040000000008</v>
      </c>
      <c r="Q78">
        <v>815003.25386005198</v>
      </c>
      <c r="R78">
        <v>0</v>
      </c>
      <c r="S78">
        <v>815003.25386005198</v>
      </c>
      <c r="U78">
        <v>8734.0040000000008</v>
      </c>
      <c r="V78">
        <v>156907.637384737</v>
      </c>
      <c r="X78">
        <v>8734.0040000000008</v>
      </c>
      <c r="Y78">
        <v>14.637152828368899</v>
      </c>
    </row>
    <row r="79" spans="5:25" x14ac:dyDescent="0.25">
      <c r="E79">
        <v>8736</v>
      </c>
      <c r="F79">
        <v>0</v>
      </c>
      <c r="H79">
        <v>8735.0040000000008</v>
      </c>
      <c r="I79">
        <v>0</v>
      </c>
      <c r="J79">
        <v>58.649999999999899</v>
      </c>
      <c r="K79">
        <v>58.649999999999899</v>
      </c>
      <c r="M79">
        <v>8735.0040000000008</v>
      </c>
      <c r="N79">
        <v>0</v>
      </c>
      <c r="P79">
        <v>8735.0040000000008</v>
      </c>
      <c r="Q79">
        <v>815066.69486005197</v>
      </c>
      <c r="R79">
        <v>0</v>
      </c>
      <c r="S79">
        <v>815066.69486005197</v>
      </c>
      <c r="U79">
        <v>8735.0040000000008</v>
      </c>
      <c r="V79">
        <v>156919.767384737</v>
      </c>
      <c r="X79">
        <v>8735.0040000000008</v>
      </c>
      <c r="Y79">
        <v>12.1301528283689</v>
      </c>
    </row>
    <row r="80" spans="5:25" x14ac:dyDescent="0.25">
      <c r="E80">
        <v>8737</v>
      </c>
      <c r="F80">
        <v>0</v>
      </c>
      <c r="H80">
        <v>8736.0040000000008</v>
      </c>
      <c r="I80">
        <v>0</v>
      </c>
      <c r="J80">
        <v>44.729999999999897</v>
      </c>
      <c r="K80">
        <v>44.729999999999897</v>
      </c>
      <c r="M80">
        <v>8736.0040000000008</v>
      </c>
      <c r="N80">
        <v>0</v>
      </c>
      <c r="P80">
        <v>8736.0040000000008</v>
      </c>
      <c r="Q80">
        <v>815116.881860052</v>
      </c>
      <c r="R80">
        <v>0</v>
      </c>
      <c r="S80">
        <v>815116.881860052</v>
      </c>
      <c r="U80">
        <v>8736.0040000000008</v>
      </c>
      <c r="V80">
        <v>156928.324384737</v>
      </c>
      <c r="X80">
        <v>8736.0040000000008</v>
      </c>
      <c r="Y80">
        <v>8.5571528283689808</v>
      </c>
    </row>
    <row r="81" spans="5:25" x14ac:dyDescent="0.25">
      <c r="E81">
        <v>8738</v>
      </c>
      <c r="F81">
        <v>0</v>
      </c>
      <c r="H81">
        <v>8737.0040000000008</v>
      </c>
      <c r="I81">
        <v>0</v>
      </c>
      <c r="J81">
        <v>36.5399999999999</v>
      </c>
      <c r="K81">
        <v>36.5399999999999</v>
      </c>
      <c r="M81">
        <v>8737.0040000000008</v>
      </c>
      <c r="N81">
        <v>0</v>
      </c>
      <c r="P81">
        <v>8737.0040000000008</v>
      </c>
      <c r="Q81">
        <v>815156.07986005198</v>
      </c>
      <c r="R81">
        <v>0</v>
      </c>
      <c r="S81">
        <v>815156.07986005198</v>
      </c>
      <c r="U81">
        <v>8737.0040000000008</v>
      </c>
      <c r="V81">
        <v>156935.06038473701</v>
      </c>
      <c r="X81">
        <v>8737.0040000000008</v>
      </c>
      <c r="Y81">
        <v>6.7361528283689802</v>
      </c>
    </row>
    <row r="82" spans="5:25" x14ac:dyDescent="0.25">
      <c r="E82">
        <v>8739</v>
      </c>
      <c r="F82">
        <v>0</v>
      </c>
      <c r="H82">
        <v>8738.0040000000008</v>
      </c>
      <c r="I82">
        <v>0</v>
      </c>
      <c r="J82">
        <v>33.5399999999999</v>
      </c>
      <c r="K82">
        <v>33.5399999999999</v>
      </c>
      <c r="M82">
        <v>8738.0040000000008</v>
      </c>
      <c r="N82">
        <v>0</v>
      </c>
      <c r="P82">
        <v>8738.0040000000008</v>
      </c>
      <c r="Q82">
        <v>815191.158860052</v>
      </c>
      <c r="R82">
        <v>0</v>
      </c>
      <c r="S82">
        <v>815191.158860052</v>
      </c>
      <c r="U82">
        <v>8738.0040000000008</v>
      </c>
      <c r="V82">
        <v>156941.30138473699</v>
      </c>
      <c r="X82">
        <v>8738.0040000000008</v>
      </c>
      <c r="Y82">
        <v>6.2411528283689801</v>
      </c>
    </row>
    <row r="83" spans="5:25" x14ac:dyDescent="0.25">
      <c r="E83">
        <v>8740</v>
      </c>
      <c r="F83">
        <v>0</v>
      </c>
      <c r="H83">
        <v>8739.0040000000008</v>
      </c>
      <c r="I83">
        <v>0</v>
      </c>
      <c r="J83">
        <v>29.5199999999999</v>
      </c>
      <c r="K83">
        <v>29.5199999999999</v>
      </c>
      <c r="M83">
        <v>8739.0040000000008</v>
      </c>
      <c r="N83">
        <v>0</v>
      </c>
      <c r="P83">
        <v>8739.0040000000008</v>
      </c>
      <c r="Q83">
        <v>815222.033860052</v>
      </c>
      <c r="R83">
        <v>0</v>
      </c>
      <c r="S83">
        <v>815222.033860052</v>
      </c>
      <c r="U83">
        <v>8739.0040000000008</v>
      </c>
      <c r="V83">
        <v>156946.773384737</v>
      </c>
      <c r="X83">
        <v>8739.0040000000008</v>
      </c>
      <c r="Y83">
        <v>5.4711528283689796</v>
      </c>
    </row>
    <row r="84" spans="5:25" x14ac:dyDescent="0.25">
      <c r="E84">
        <v>8741</v>
      </c>
      <c r="F84">
        <v>0</v>
      </c>
      <c r="H84">
        <v>8740.0040000000008</v>
      </c>
      <c r="I84">
        <v>0</v>
      </c>
      <c r="J84">
        <v>28.959999999999901</v>
      </c>
      <c r="K84">
        <v>28.959999999999901</v>
      </c>
      <c r="M84">
        <v>8740.0040000000008</v>
      </c>
      <c r="N84">
        <v>0</v>
      </c>
      <c r="P84">
        <v>8740.0040000000008</v>
      </c>
      <c r="Q84">
        <v>815253.83486005198</v>
      </c>
      <c r="R84">
        <v>0</v>
      </c>
      <c r="S84">
        <v>815253.83486005198</v>
      </c>
      <c r="U84">
        <v>8740.0040000000008</v>
      </c>
      <c r="V84">
        <v>156952.05238473701</v>
      </c>
      <c r="X84">
        <v>8740.0040000000008</v>
      </c>
      <c r="Y84">
        <v>5.2791528283689804</v>
      </c>
    </row>
    <row r="85" spans="5:25" x14ac:dyDescent="0.25">
      <c r="E85">
        <v>8742</v>
      </c>
      <c r="F85">
        <v>0</v>
      </c>
      <c r="H85">
        <v>8741.0040000000008</v>
      </c>
      <c r="I85">
        <v>0</v>
      </c>
      <c r="J85">
        <v>30.899999999999899</v>
      </c>
      <c r="K85">
        <v>30.899999999999899</v>
      </c>
      <c r="M85">
        <v>8741.0040000000008</v>
      </c>
      <c r="N85">
        <v>0</v>
      </c>
      <c r="P85">
        <v>8741.0040000000008</v>
      </c>
      <c r="Q85">
        <v>815288.25086005195</v>
      </c>
      <c r="R85">
        <v>0</v>
      </c>
      <c r="S85">
        <v>815288.25086005195</v>
      </c>
      <c r="U85">
        <v>8741.0040000000008</v>
      </c>
      <c r="V85">
        <v>156957.69538473699</v>
      </c>
      <c r="X85">
        <v>8741.0040000000008</v>
      </c>
      <c r="Y85">
        <v>5.6431528283689802</v>
      </c>
    </row>
    <row r="86" spans="5:25" x14ac:dyDescent="0.25">
      <c r="E86">
        <v>8743</v>
      </c>
      <c r="F86">
        <v>0</v>
      </c>
      <c r="H86">
        <v>8742.0040000000008</v>
      </c>
      <c r="I86">
        <v>0</v>
      </c>
      <c r="J86">
        <v>36.909999999999897</v>
      </c>
      <c r="K86">
        <v>36.909999999999897</v>
      </c>
      <c r="M86">
        <v>8742.0040000000008</v>
      </c>
      <c r="N86">
        <v>0</v>
      </c>
      <c r="P86">
        <v>8742.0040000000008</v>
      </c>
      <c r="Q86">
        <v>815330.79186005204</v>
      </c>
      <c r="R86">
        <v>0</v>
      </c>
      <c r="S86">
        <v>815330.79186005204</v>
      </c>
      <c r="U86">
        <v>8742.0040000000008</v>
      </c>
      <c r="V86">
        <v>156964.49638473699</v>
      </c>
      <c r="X86">
        <v>8742.0040000000008</v>
      </c>
      <c r="Y86">
        <v>6.8011528283689797</v>
      </c>
    </row>
    <row r="87" spans="5:25" x14ac:dyDescent="0.25">
      <c r="E87">
        <v>8744</v>
      </c>
      <c r="F87">
        <v>0</v>
      </c>
      <c r="H87">
        <v>8743.0040000000008</v>
      </c>
      <c r="I87">
        <v>0</v>
      </c>
      <c r="J87">
        <v>45.229999999999897</v>
      </c>
      <c r="K87">
        <v>45.229999999999897</v>
      </c>
      <c r="M87">
        <v>8743.0040000000008</v>
      </c>
      <c r="N87">
        <v>0</v>
      </c>
      <c r="P87">
        <v>8743.0040000000008</v>
      </c>
      <c r="Q87">
        <v>815384.71086005203</v>
      </c>
      <c r="R87">
        <v>0</v>
      </c>
      <c r="S87">
        <v>815384.71086005203</v>
      </c>
      <c r="U87">
        <v>8743.0040000000008</v>
      </c>
      <c r="V87">
        <v>156973.11138473701</v>
      </c>
      <c r="X87">
        <v>8743.0040000000008</v>
      </c>
      <c r="Y87">
        <v>8.6151528283689807</v>
      </c>
    </row>
    <row r="88" spans="5:25" x14ac:dyDescent="0.25">
      <c r="E88">
        <v>8745</v>
      </c>
      <c r="F88">
        <v>0</v>
      </c>
      <c r="H88">
        <v>8744.0040000000008</v>
      </c>
      <c r="I88">
        <v>0</v>
      </c>
      <c r="J88">
        <v>56.329999999999899</v>
      </c>
      <c r="K88">
        <v>56.329999999999899</v>
      </c>
      <c r="M88">
        <v>8744.0040000000008</v>
      </c>
      <c r="N88">
        <v>0</v>
      </c>
      <c r="P88">
        <v>8744.0040000000008</v>
      </c>
      <c r="Q88">
        <v>815453.92186005204</v>
      </c>
      <c r="R88">
        <v>0</v>
      </c>
      <c r="S88">
        <v>815453.92186005204</v>
      </c>
      <c r="U88">
        <v>8744.0040000000008</v>
      </c>
      <c r="V88">
        <v>156985.54338473699</v>
      </c>
      <c r="X88">
        <v>8744.0040000000008</v>
      </c>
      <c r="Y88">
        <v>12.432152828368899</v>
      </c>
    </row>
    <row r="89" spans="5:25" x14ac:dyDescent="0.25">
      <c r="E89">
        <v>8746</v>
      </c>
      <c r="F89">
        <v>0</v>
      </c>
      <c r="H89">
        <v>8745.0040000000008</v>
      </c>
      <c r="I89">
        <v>0</v>
      </c>
      <c r="J89">
        <v>59.309999999999903</v>
      </c>
      <c r="K89">
        <v>59.309999999999903</v>
      </c>
      <c r="M89">
        <v>8745.0040000000008</v>
      </c>
      <c r="N89">
        <v>0</v>
      </c>
      <c r="P89">
        <v>8745.0040000000008</v>
      </c>
      <c r="Q89">
        <v>815526.92686005204</v>
      </c>
      <c r="R89">
        <v>0</v>
      </c>
      <c r="S89">
        <v>815526.92686005204</v>
      </c>
      <c r="U89">
        <v>8745.0040000000008</v>
      </c>
      <c r="V89">
        <v>156998.88338473701</v>
      </c>
      <c r="X89">
        <v>8745.0040000000008</v>
      </c>
      <c r="Y89">
        <v>13.3401528283689</v>
      </c>
    </row>
    <row r="90" spans="5:25" x14ac:dyDescent="0.25">
      <c r="E90">
        <v>8747</v>
      </c>
      <c r="F90">
        <v>0</v>
      </c>
      <c r="H90">
        <v>8746.0040000000008</v>
      </c>
      <c r="I90">
        <v>0</v>
      </c>
      <c r="J90">
        <v>58.819999999999901</v>
      </c>
      <c r="K90">
        <v>58.819999999999901</v>
      </c>
      <c r="M90">
        <v>8746.0040000000008</v>
      </c>
      <c r="N90">
        <v>0</v>
      </c>
      <c r="P90">
        <v>8746.0040000000008</v>
      </c>
      <c r="Q90">
        <v>815599.854860052</v>
      </c>
      <c r="R90">
        <v>0</v>
      </c>
      <c r="S90">
        <v>815599.854860052</v>
      </c>
      <c r="U90">
        <v>8746.0040000000008</v>
      </c>
      <c r="V90">
        <v>157011.860384737</v>
      </c>
      <c r="X90">
        <v>8746.0040000000008</v>
      </c>
      <c r="Y90">
        <v>12.977152828368901</v>
      </c>
    </row>
    <row r="91" spans="5:25" x14ac:dyDescent="0.25">
      <c r="E91">
        <v>8748</v>
      </c>
      <c r="F91">
        <v>0</v>
      </c>
      <c r="H91">
        <v>8747.0040000000008</v>
      </c>
      <c r="I91">
        <v>0</v>
      </c>
      <c r="J91">
        <v>63.279999999999902</v>
      </c>
      <c r="K91">
        <v>63.279999999999902</v>
      </c>
      <c r="M91">
        <v>8747.0040000000008</v>
      </c>
      <c r="N91">
        <v>0</v>
      </c>
      <c r="P91">
        <v>8747.0040000000008</v>
      </c>
      <c r="Q91">
        <v>815677.79286005197</v>
      </c>
      <c r="R91">
        <v>0</v>
      </c>
      <c r="S91">
        <v>815677.79286005197</v>
      </c>
      <c r="U91">
        <v>8747.0040000000008</v>
      </c>
      <c r="V91">
        <v>157025.868384737</v>
      </c>
      <c r="X91">
        <v>8747.0040000000008</v>
      </c>
      <c r="Y91">
        <v>14.0071528283689</v>
      </c>
    </row>
    <row r="92" spans="5:25" x14ac:dyDescent="0.25">
      <c r="E92">
        <v>8749</v>
      </c>
      <c r="F92">
        <v>0</v>
      </c>
      <c r="H92">
        <v>8748.0040000000008</v>
      </c>
      <c r="I92">
        <v>0</v>
      </c>
      <c r="J92">
        <v>68.259999999999906</v>
      </c>
      <c r="K92">
        <v>68.259999999999906</v>
      </c>
      <c r="M92">
        <v>8748.0040000000008</v>
      </c>
      <c r="N92">
        <v>0</v>
      </c>
      <c r="P92">
        <v>8748.0040000000008</v>
      </c>
      <c r="Q92">
        <v>815761.050860052</v>
      </c>
      <c r="R92">
        <v>0</v>
      </c>
      <c r="S92">
        <v>815761.050860052</v>
      </c>
      <c r="U92">
        <v>8748.0040000000008</v>
      </c>
      <c r="V92">
        <v>157040.79038473699</v>
      </c>
      <c r="X92">
        <v>8748.0040000000008</v>
      </c>
      <c r="Y92">
        <v>14.922152828368899</v>
      </c>
    </row>
    <row r="93" spans="5:25" x14ac:dyDescent="0.25">
      <c r="E93">
        <v>8750</v>
      </c>
      <c r="F93">
        <v>0</v>
      </c>
      <c r="H93">
        <v>8749.0040000000008</v>
      </c>
      <c r="I93">
        <v>0</v>
      </c>
      <c r="J93">
        <v>67.969999999999899</v>
      </c>
      <c r="K93">
        <v>67.969999999999899</v>
      </c>
      <c r="M93">
        <v>8749.0040000000008</v>
      </c>
      <c r="N93">
        <v>0</v>
      </c>
      <c r="P93">
        <v>8749.0040000000008</v>
      </c>
      <c r="Q93">
        <v>815843.49786005204</v>
      </c>
      <c r="R93">
        <v>0</v>
      </c>
      <c r="S93">
        <v>815843.49786005204</v>
      </c>
      <c r="U93">
        <v>8749.0040000000008</v>
      </c>
      <c r="V93">
        <v>157055.19638473701</v>
      </c>
      <c r="X93">
        <v>8749.0040000000008</v>
      </c>
      <c r="Y93">
        <v>14.406152828368899</v>
      </c>
    </row>
    <row r="94" spans="5:25" x14ac:dyDescent="0.25">
      <c r="E94">
        <v>8751</v>
      </c>
      <c r="F94">
        <v>0</v>
      </c>
      <c r="H94">
        <v>8750.0040000000008</v>
      </c>
      <c r="I94">
        <v>0</v>
      </c>
      <c r="J94">
        <v>70.449999999999903</v>
      </c>
      <c r="K94">
        <v>70.449999999999903</v>
      </c>
      <c r="M94">
        <v>8750.0040000000008</v>
      </c>
      <c r="N94">
        <v>0</v>
      </c>
      <c r="P94">
        <v>8750.0040000000008</v>
      </c>
      <c r="Q94">
        <v>815928.84786005202</v>
      </c>
      <c r="R94">
        <v>0</v>
      </c>
      <c r="S94">
        <v>815928.84786005202</v>
      </c>
      <c r="U94">
        <v>8750.0040000000008</v>
      </c>
      <c r="V94">
        <v>157070.05938473699</v>
      </c>
      <c r="X94">
        <v>8750.0040000000008</v>
      </c>
      <c r="Y94">
        <v>14.8631528283689</v>
      </c>
    </row>
    <row r="95" spans="5:25" x14ac:dyDescent="0.25">
      <c r="E95">
        <v>8752</v>
      </c>
      <c r="F95">
        <v>0</v>
      </c>
      <c r="H95">
        <v>8751.0040000000008</v>
      </c>
      <c r="I95">
        <v>0</v>
      </c>
      <c r="J95">
        <v>74.649999999999906</v>
      </c>
      <c r="K95">
        <v>74.649999999999906</v>
      </c>
      <c r="M95">
        <v>8751.0040000000008</v>
      </c>
      <c r="N95">
        <v>0</v>
      </c>
      <c r="P95">
        <v>8751.0040000000008</v>
      </c>
      <c r="Q95">
        <v>816020.45686005196</v>
      </c>
      <c r="R95">
        <v>0</v>
      </c>
      <c r="S95">
        <v>816020.45686005196</v>
      </c>
      <c r="U95">
        <v>8751.0040000000008</v>
      </c>
      <c r="V95">
        <v>157084.661384737</v>
      </c>
      <c r="X95">
        <v>8751.0040000000008</v>
      </c>
      <c r="Y95">
        <v>14.602152828368901</v>
      </c>
    </row>
    <row r="96" spans="5:25" x14ac:dyDescent="0.25">
      <c r="E96">
        <v>8753</v>
      </c>
      <c r="F96">
        <v>0</v>
      </c>
      <c r="H96">
        <v>8752.0040000000008</v>
      </c>
      <c r="I96">
        <v>0</v>
      </c>
      <c r="J96">
        <v>88.969999999999899</v>
      </c>
      <c r="K96">
        <v>88.969999999999899</v>
      </c>
      <c r="M96">
        <v>8752.0040000000008</v>
      </c>
      <c r="N96">
        <v>0</v>
      </c>
      <c r="P96">
        <v>8752.0040000000008</v>
      </c>
      <c r="Q96">
        <v>816131.49586005195</v>
      </c>
      <c r="R96">
        <v>0</v>
      </c>
      <c r="S96">
        <v>816131.49586005195</v>
      </c>
      <c r="U96">
        <v>8752.0040000000008</v>
      </c>
      <c r="V96">
        <v>157102.06238473699</v>
      </c>
      <c r="X96">
        <v>8752.0040000000008</v>
      </c>
      <c r="Y96">
        <v>17.400152828368899</v>
      </c>
    </row>
    <row r="97" spans="5:25" x14ac:dyDescent="0.25">
      <c r="E97">
        <v>8754</v>
      </c>
      <c r="F97">
        <v>0</v>
      </c>
      <c r="H97">
        <v>8753.0040000000008</v>
      </c>
      <c r="I97">
        <v>0</v>
      </c>
      <c r="J97">
        <v>109.569999999999</v>
      </c>
      <c r="K97">
        <v>109.569999999999</v>
      </c>
      <c r="M97">
        <v>8753.0040000000008</v>
      </c>
      <c r="N97">
        <v>0</v>
      </c>
      <c r="P97">
        <v>8753.0040000000008</v>
      </c>
      <c r="Q97">
        <v>816268.40986005205</v>
      </c>
      <c r="R97">
        <v>0</v>
      </c>
      <c r="S97">
        <v>816268.40986005205</v>
      </c>
      <c r="U97">
        <v>8753.0040000000008</v>
      </c>
      <c r="V97">
        <v>157124.04838473699</v>
      </c>
      <c r="X97">
        <v>8753.0040000000008</v>
      </c>
      <c r="Y97">
        <v>21.986152828368901</v>
      </c>
    </row>
    <row r="98" spans="5:25" x14ac:dyDescent="0.25">
      <c r="E98">
        <v>8755</v>
      </c>
      <c r="F98">
        <v>0</v>
      </c>
      <c r="H98">
        <v>8754.0040000000008</v>
      </c>
      <c r="I98">
        <v>0</v>
      </c>
      <c r="J98">
        <v>108.229999999999</v>
      </c>
      <c r="K98">
        <v>108.229999999999</v>
      </c>
      <c r="M98">
        <v>8754.0040000000008</v>
      </c>
      <c r="N98">
        <v>0</v>
      </c>
      <c r="P98">
        <v>8754.0040000000008</v>
      </c>
      <c r="Q98">
        <v>816401.30686005205</v>
      </c>
      <c r="R98">
        <v>0</v>
      </c>
      <c r="S98">
        <v>816401.30686005205</v>
      </c>
      <c r="U98">
        <v>8754.0040000000008</v>
      </c>
      <c r="V98">
        <v>157144.96738473701</v>
      </c>
      <c r="X98">
        <v>8754.0040000000008</v>
      </c>
      <c r="Y98">
        <v>20.919152828368901</v>
      </c>
    </row>
    <row r="99" spans="5:25" x14ac:dyDescent="0.25">
      <c r="E99">
        <v>8756</v>
      </c>
      <c r="F99">
        <v>0</v>
      </c>
      <c r="H99">
        <v>8755.0040000000008</v>
      </c>
      <c r="I99">
        <v>0</v>
      </c>
      <c r="J99">
        <v>85.619999999999905</v>
      </c>
      <c r="K99">
        <v>85.619999999999905</v>
      </c>
      <c r="M99">
        <v>8755.0040000000008</v>
      </c>
      <c r="N99">
        <v>0</v>
      </c>
      <c r="P99">
        <v>8755.0040000000008</v>
      </c>
      <c r="Q99">
        <v>816503.75786005205</v>
      </c>
      <c r="R99">
        <v>0</v>
      </c>
      <c r="S99">
        <v>816503.75786005205</v>
      </c>
      <c r="U99">
        <v>8755.0040000000008</v>
      </c>
      <c r="V99">
        <v>157159.743384737</v>
      </c>
      <c r="X99">
        <v>8755.0040000000008</v>
      </c>
      <c r="Y99">
        <v>14.7761528283689</v>
      </c>
    </row>
    <row r="100" spans="5:25" x14ac:dyDescent="0.25">
      <c r="E100">
        <v>8757</v>
      </c>
      <c r="F100">
        <v>0</v>
      </c>
      <c r="H100">
        <v>8756.0040000000008</v>
      </c>
      <c r="I100">
        <v>0</v>
      </c>
      <c r="J100">
        <v>91.329999999999899</v>
      </c>
      <c r="K100">
        <v>91.329999999999899</v>
      </c>
      <c r="M100">
        <v>8756.0040000000008</v>
      </c>
      <c r="N100">
        <v>0</v>
      </c>
      <c r="P100">
        <v>8756.0040000000008</v>
      </c>
      <c r="Q100">
        <v>816610.52186005202</v>
      </c>
      <c r="R100">
        <v>0</v>
      </c>
      <c r="S100">
        <v>816610.52186005202</v>
      </c>
      <c r="U100">
        <v>8756.0040000000008</v>
      </c>
      <c r="V100">
        <v>157175.053384737</v>
      </c>
      <c r="X100">
        <v>8756.0040000000008</v>
      </c>
      <c r="Y100">
        <v>15.310152828368899</v>
      </c>
    </row>
    <row r="101" spans="5:25" x14ac:dyDescent="0.25">
      <c r="E101">
        <v>8758</v>
      </c>
      <c r="F101">
        <v>0</v>
      </c>
      <c r="H101">
        <v>8757.0040000000008</v>
      </c>
      <c r="I101">
        <v>0</v>
      </c>
      <c r="J101">
        <v>74.939999999999898</v>
      </c>
      <c r="K101">
        <v>74.939999999999898</v>
      </c>
      <c r="M101">
        <v>8757.0040000000008</v>
      </c>
      <c r="N101">
        <v>0</v>
      </c>
      <c r="P101">
        <v>8757.0040000000008</v>
      </c>
      <c r="Q101">
        <v>816696.78286005196</v>
      </c>
      <c r="R101">
        <v>0</v>
      </c>
      <c r="S101">
        <v>816696.78286005196</v>
      </c>
      <c r="U101">
        <v>8757.0040000000008</v>
      </c>
      <c r="V101">
        <v>157187.26838473699</v>
      </c>
      <c r="X101">
        <v>8757.0040000000008</v>
      </c>
      <c r="Y101">
        <v>12.2151528283689</v>
      </c>
    </row>
    <row r="102" spans="5:25" x14ac:dyDescent="0.25">
      <c r="E102">
        <v>8759</v>
      </c>
      <c r="F102">
        <v>0</v>
      </c>
      <c r="H102">
        <v>8758.0040000000008</v>
      </c>
      <c r="I102">
        <v>0</v>
      </c>
      <c r="J102">
        <v>68.499999999999901</v>
      </c>
      <c r="K102">
        <v>68.499999999999901</v>
      </c>
      <c r="M102">
        <v>8758.0040000000008</v>
      </c>
      <c r="N102">
        <v>0</v>
      </c>
      <c r="P102">
        <v>8758.0040000000008</v>
      </c>
      <c r="Q102">
        <v>816773.43486005196</v>
      </c>
      <c r="R102">
        <v>0</v>
      </c>
      <c r="S102">
        <v>816773.43486005196</v>
      </c>
      <c r="U102">
        <v>8758.0040000000008</v>
      </c>
      <c r="V102">
        <v>157198.398384737</v>
      </c>
      <c r="X102">
        <v>8758.0040000000008</v>
      </c>
      <c r="Y102">
        <v>11.1301528283689</v>
      </c>
    </row>
    <row r="103" spans="5:25" x14ac:dyDescent="0.25">
      <c r="E103">
        <v>8760</v>
      </c>
      <c r="F103">
        <v>0</v>
      </c>
      <c r="H103">
        <v>8759.0040000000008</v>
      </c>
      <c r="I103">
        <v>0</v>
      </c>
      <c r="J103">
        <v>59.779999999999902</v>
      </c>
      <c r="K103">
        <v>59.779999999999902</v>
      </c>
      <c r="M103">
        <v>8759.0040000000008</v>
      </c>
      <c r="N103">
        <v>0</v>
      </c>
      <c r="P103">
        <v>8759.0040000000008</v>
      </c>
      <c r="Q103" s="25">
        <v>816834.57586005202</v>
      </c>
      <c r="R103">
        <v>0</v>
      </c>
      <c r="S103">
        <v>816834.57586005202</v>
      </c>
      <c r="U103">
        <v>8759.0040000000008</v>
      </c>
      <c r="V103" s="25">
        <v>157208.02938473699</v>
      </c>
      <c r="X103">
        <v>8759.0040000000008</v>
      </c>
      <c r="Y103">
        <v>9.6311528283689807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A788-9D85-487F-9CFB-CF748CEB871C}">
  <dimension ref="A3:S107"/>
  <sheetViews>
    <sheetView workbookViewId="0">
      <selection activeCell="A4" sqref="A4"/>
    </sheetView>
  </sheetViews>
  <sheetFormatPr defaultRowHeight="15" x14ac:dyDescent="0.25"/>
  <sheetData>
    <row r="3" spans="1:19" x14ac:dyDescent="0.25">
      <c r="A3" t="s">
        <v>274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K3" t="s">
        <v>52</v>
      </c>
      <c r="N3" t="s">
        <v>51</v>
      </c>
      <c r="O3" t="s">
        <v>40</v>
      </c>
      <c r="P3" t="s">
        <v>41</v>
      </c>
      <c r="S3" t="s">
        <v>42</v>
      </c>
    </row>
    <row r="4" spans="1:19" x14ac:dyDescent="0.25">
      <c r="A4" s="1">
        <v>2009.296</v>
      </c>
      <c r="C4">
        <v>8660.0059999999994</v>
      </c>
      <c r="D4">
        <v>122926.855849782</v>
      </c>
      <c r="E4">
        <v>325902.56004021602</v>
      </c>
      <c r="F4">
        <v>448829.41588999802</v>
      </c>
      <c r="G4">
        <v>326017.281980347</v>
      </c>
      <c r="H4">
        <v>66934.597570000304</v>
      </c>
      <c r="J4">
        <v>8660.0059999999994</v>
      </c>
      <c r="K4">
        <v>68969.939719294998</v>
      </c>
      <c r="M4">
        <v>8660.0059999999994</v>
      </c>
      <c r="N4">
        <v>612807.72129693197</v>
      </c>
      <c r="O4">
        <v>41879.177931504797</v>
      </c>
      <c r="P4">
        <v>654686.89922843699</v>
      </c>
      <c r="R4">
        <v>8660.0059999999994</v>
      </c>
      <c r="S4">
        <v>116960.33020497901</v>
      </c>
    </row>
    <row r="5" spans="1:19" x14ac:dyDescent="0.25">
      <c r="A5">
        <f>A4/8760 *100</f>
        <v>22.937168949771692</v>
      </c>
      <c r="C5">
        <v>8661.0059999999994</v>
      </c>
      <c r="D5">
        <v>122926.855849782</v>
      </c>
      <c r="E5">
        <v>325982.63004021603</v>
      </c>
      <c r="F5">
        <v>448909.48588999797</v>
      </c>
      <c r="G5">
        <v>326097.35198034701</v>
      </c>
      <c r="H5">
        <v>66934.597570000304</v>
      </c>
      <c r="J5">
        <v>8661.0059999999994</v>
      </c>
      <c r="K5">
        <v>68969.939719294998</v>
      </c>
      <c r="M5">
        <v>8661.0059999999994</v>
      </c>
      <c r="N5">
        <v>612883.70029693202</v>
      </c>
      <c r="O5">
        <v>41884.012931504803</v>
      </c>
      <c r="P5">
        <v>654767.71422843705</v>
      </c>
      <c r="R5">
        <v>8661.0059999999994</v>
      </c>
      <c r="S5">
        <v>116980.761204979</v>
      </c>
    </row>
    <row r="6" spans="1:19" x14ac:dyDescent="0.25">
      <c r="C6">
        <v>8662.0059999999994</v>
      </c>
      <c r="D6">
        <v>122926.855849782</v>
      </c>
      <c r="E6">
        <v>326047.910040216</v>
      </c>
      <c r="F6">
        <v>448974.765889998</v>
      </c>
      <c r="G6">
        <v>326162.63198034698</v>
      </c>
      <c r="H6">
        <v>66934.597570000304</v>
      </c>
      <c r="J6">
        <v>8662.0059999999994</v>
      </c>
      <c r="K6">
        <v>68969.939719294998</v>
      </c>
      <c r="M6">
        <v>8662.0059999999994</v>
      </c>
      <c r="N6">
        <v>612938.87629693199</v>
      </c>
      <c r="O6">
        <v>41888.848931504799</v>
      </c>
      <c r="P6">
        <v>654827.72522843699</v>
      </c>
      <c r="R6">
        <v>8662.0059999999994</v>
      </c>
      <c r="S6">
        <v>116996.124204979</v>
      </c>
    </row>
    <row r="7" spans="1:19" x14ac:dyDescent="0.25">
      <c r="B7" t="s">
        <v>275</v>
      </c>
      <c r="C7">
        <v>8663.0059999999994</v>
      </c>
      <c r="D7">
        <v>122926.855849782</v>
      </c>
      <c r="E7">
        <v>326103.87004021602</v>
      </c>
      <c r="F7">
        <v>449030.72588999802</v>
      </c>
      <c r="G7">
        <v>326218.591980347</v>
      </c>
      <c r="H7">
        <v>66934.597570000304</v>
      </c>
      <c r="J7">
        <v>8663.0059999999994</v>
      </c>
      <c r="K7">
        <v>68969.939719294998</v>
      </c>
      <c r="M7">
        <v>8663.0059999999994</v>
      </c>
      <c r="N7">
        <v>612983.00229693204</v>
      </c>
      <c r="O7">
        <v>41893.683931504798</v>
      </c>
      <c r="P7">
        <v>654876.686228437</v>
      </c>
      <c r="R7">
        <v>8663.0059999999994</v>
      </c>
      <c r="S7">
        <v>117005.422204979</v>
      </c>
    </row>
    <row r="8" spans="1:19" x14ac:dyDescent="0.25">
      <c r="A8">
        <v>8660.0059999999994</v>
      </c>
      <c r="B8">
        <v>2007.11077082325</v>
      </c>
      <c r="C8">
        <v>8664.0059999999994</v>
      </c>
      <c r="D8">
        <v>122926.855849782</v>
      </c>
      <c r="E8">
        <v>326154.17004021601</v>
      </c>
      <c r="F8">
        <v>449081.02588999801</v>
      </c>
      <c r="G8">
        <v>326268.89198034699</v>
      </c>
      <c r="H8">
        <v>66934.597570000304</v>
      </c>
      <c r="J8">
        <v>8664.0059999999994</v>
      </c>
      <c r="K8">
        <v>68969.939719294998</v>
      </c>
      <c r="M8">
        <v>8664.0059999999994</v>
      </c>
      <c r="N8">
        <v>613022.77729693195</v>
      </c>
      <c r="O8">
        <v>41898.518931504797</v>
      </c>
      <c r="P8">
        <v>654921.29722843703</v>
      </c>
      <c r="R8">
        <v>8664.0059999999994</v>
      </c>
      <c r="S8">
        <v>117013.30320497901</v>
      </c>
    </row>
    <row r="9" spans="1:19" x14ac:dyDescent="0.25">
      <c r="A9">
        <v>8661.0059999999994</v>
      </c>
      <c r="B9">
        <v>2007.11077082325</v>
      </c>
      <c r="C9">
        <v>8665.0059999999994</v>
      </c>
      <c r="D9">
        <v>122926.855849782</v>
      </c>
      <c r="E9">
        <v>326191.17004021601</v>
      </c>
      <c r="F9">
        <v>449118.02588999801</v>
      </c>
      <c r="G9">
        <v>326305.89198034699</v>
      </c>
      <c r="H9">
        <v>66934.597570000304</v>
      </c>
      <c r="J9">
        <v>8665.0059999999994</v>
      </c>
      <c r="K9">
        <v>68969.939719294998</v>
      </c>
      <c r="M9">
        <v>8665.0059999999994</v>
      </c>
      <c r="N9">
        <v>613046.653296932</v>
      </c>
      <c r="O9">
        <v>41903.3549315048</v>
      </c>
      <c r="P9">
        <v>654950.00822843704</v>
      </c>
      <c r="R9">
        <v>8665.0059999999994</v>
      </c>
      <c r="S9">
        <v>117018.494204979</v>
      </c>
    </row>
    <row r="10" spans="1:19" x14ac:dyDescent="0.25">
      <c r="A10">
        <v>8662.0059999999994</v>
      </c>
      <c r="B10">
        <v>2007.11077082325</v>
      </c>
      <c r="C10">
        <v>8666.0059999999994</v>
      </c>
      <c r="D10">
        <v>122926.855849782</v>
      </c>
      <c r="E10">
        <v>326223.28004021599</v>
      </c>
      <c r="F10">
        <v>449150.135889998</v>
      </c>
      <c r="G10">
        <v>326338.00198034698</v>
      </c>
      <c r="H10">
        <v>66934.597570000304</v>
      </c>
      <c r="J10">
        <v>8666.0059999999994</v>
      </c>
      <c r="K10">
        <v>68969.939719294998</v>
      </c>
      <c r="M10">
        <v>8666.0059999999994</v>
      </c>
      <c r="N10">
        <v>613064.11529693205</v>
      </c>
      <c r="O10">
        <v>41908.189931504799</v>
      </c>
      <c r="P10">
        <v>654972.306228437</v>
      </c>
      <c r="R10">
        <v>8666.0059999999994</v>
      </c>
      <c r="S10">
        <v>117022.233204979</v>
      </c>
    </row>
    <row r="11" spans="1:19" x14ac:dyDescent="0.25">
      <c r="A11">
        <v>8663.0059999999994</v>
      </c>
      <c r="B11">
        <v>2007.11077082325</v>
      </c>
      <c r="C11">
        <v>8667.0059999999994</v>
      </c>
      <c r="D11">
        <v>122926.855849782</v>
      </c>
      <c r="E11">
        <v>326253.00004021602</v>
      </c>
      <c r="F11">
        <v>449179.85588999803</v>
      </c>
      <c r="G11">
        <v>326367.72198034701</v>
      </c>
      <c r="H11">
        <v>66934.597570000304</v>
      </c>
      <c r="J11">
        <v>8667.0059999999994</v>
      </c>
      <c r="K11">
        <v>68969.939719294998</v>
      </c>
      <c r="M11">
        <v>8667.0059999999994</v>
      </c>
      <c r="N11">
        <v>613078.06129693205</v>
      </c>
      <c r="O11">
        <v>41913.025931504802</v>
      </c>
      <c r="P11">
        <v>654991.08722843695</v>
      </c>
      <c r="R11">
        <v>8667.0059999999994</v>
      </c>
      <c r="S11">
        <v>117025.317204979</v>
      </c>
    </row>
    <row r="12" spans="1:19" x14ac:dyDescent="0.25">
      <c r="A12">
        <v>8664.0059999999994</v>
      </c>
      <c r="B12">
        <v>2007.11077082325</v>
      </c>
      <c r="C12">
        <v>8668.0059999999994</v>
      </c>
      <c r="D12">
        <v>122926.855849782</v>
      </c>
      <c r="E12">
        <v>326281.88004021603</v>
      </c>
      <c r="F12">
        <v>449208.73588999797</v>
      </c>
      <c r="G12">
        <v>326396.651980347</v>
      </c>
      <c r="H12">
        <v>66934.597570000304</v>
      </c>
      <c r="J12">
        <v>8668.0059999999994</v>
      </c>
      <c r="K12">
        <v>68969.939719294998</v>
      </c>
      <c r="M12">
        <v>8668.0059999999994</v>
      </c>
      <c r="N12">
        <v>613085.528296932</v>
      </c>
      <c r="O12">
        <v>41917.860931504802</v>
      </c>
      <c r="P12">
        <v>655003.38922843698</v>
      </c>
      <c r="R12">
        <v>8668.0059999999994</v>
      </c>
      <c r="S12">
        <v>117028.335204979</v>
      </c>
    </row>
    <row r="13" spans="1:19" x14ac:dyDescent="0.25">
      <c r="A13">
        <v>8665.0059999999994</v>
      </c>
      <c r="B13">
        <v>2007.11077082325</v>
      </c>
      <c r="C13">
        <v>8669.0059999999994</v>
      </c>
      <c r="D13">
        <v>122926.855849782</v>
      </c>
      <c r="E13">
        <v>326311.00004021602</v>
      </c>
      <c r="F13">
        <v>449237.85588999803</v>
      </c>
      <c r="G13">
        <v>326425.771980347</v>
      </c>
      <c r="H13">
        <v>66934.597570000304</v>
      </c>
      <c r="J13">
        <v>8669.0059999999994</v>
      </c>
      <c r="K13">
        <v>68969.939719294998</v>
      </c>
      <c r="M13">
        <v>8669.0059999999994</v>
      </c>
      <c r="N13">
        <v>613085.76729693206</v>
      </c>
      <c r="O13">
        <v>41922.695931504801</v>
      </c>
      <c r="P13">
        <v>655008.46422843705</v>
      </c>
      <c r="R13">
        <v>8669.0059999999994</v>
      </c>
      <c r="S13">
        <v>117031.316204979</v>
      </c>
    </row>
    <row r="14" spans="1:19" x14ac:dyDescent="0.25">
      <c r="A14">
        <v>8666.0059999999994</v>
      </c>
      <c r="B14">
        <v>2007.11077082325</v>
      </c>
      <c r="C14">
        <v>8670.0059999999994</v>
      </c>
      <c r="D14">
        <v>122926.855849782</v>
      </c>
      <c r="E14">
        <v>326345.26004021597</v>
      </c>
      <c r="F14">
        <v>449272.11588999798</v>
      </c>
      <c r="G14">
        <v>326460.031980347</v>
      </c>
      <c r="H14">
        <v>66934.597570000304</v>
      </c>
      <c r="J14">
        <v>8670.0059999999994</v>
      </c>
      <c r="K14">
        <v>68969.939719294998</v>
      </c>
      <c r="M14">
        <v>8670.0059999999994</v>
      </c>
      <c r="N14">
        <v>613085.86929693201</v>
      </c>
      <c r="O14">
        <v>41927.531931504796</v>
      </c>
      <c r="P14">
        <v>655013.40122843697</v>
      </c>
      <c r="R14">
        <v>8670.0059999999994</v>
      </c>
      <c r="S14">
        <v>117034.972204979</v>
      </c>
    </row>
    <row r="15" spans="1:19" x14ac:dyDescent="0.25">
      <c r="A15">
        <v>8667.0059999999994</v>
      </c>
      <c r="B15">
        <v>2007.11077082325</v>
      </c>
      <c r="C15">
        <v>8671.0059999999994</v>
      </c>
      <c r="D15">
        <v>122926.855849782</v>
      </c>
      <c r="E15">
        <v>326386.76004021597</v>
      </c>
      <c r="F15">
        <v>449313.61588999798</v>
      </c>
      <c r="G15">
        <v>326501.531980347</v>
      </c>
      <c r="H15">
        <v>66934.597570000304</v>
      </c>
      <c r="J15">
        <v>8671.0059999999994</v>
      </c>
      <c r="K15">
        <v>68969.939719294998</v>
      </c>
      <c r="M15">
        <v>8671.0059999999994</v>
      </c>
      <c r="N15">
        <v>613086.21029693203</v>
      </c>
      <c r="O15">
        <v>41932.366931504803</v>
      </c>
      <c r="P15">
        <v>655018.57722843695</v>
      </c>
      <c r="R15">
        <v>8671.0059999999994</v>
      </c>
      <c r="S15">
        <v>117039.543204979</v>
      </c>
    </row>
    <row r="16" spans="1:19" x14ac:dyDescent="0.25">
      <c r="A16">
        <v>8668.0059999999994</v>
      </c>
      <c r="B16">
        <v>2007.11077082325</v>
      </c>
      <c r="C16">
        <v>8672.0059999999994</v>
      </c>
      <c r="D16">
        <v>122926.855849782</v>
      </c>
      <c r="E16">
        <v>326441.600040216</v>
      </c>
      <c r="F16">
        <v>449368.455889998</v>
      </c>
      <c r="G16">
        <v>326556.37198034697</v>
      </c>
      <c r="H16">
        <v>66934.597570000304</v>
      </c>
      <c r="J16">
        <v>8672.0059999999994</v>
      </c>
      <c r="K16">
        <v>68969.939719294998</v>
      </c>
      <c r="M16">
        <v>8672.0059999999994</v>
      </c>
      <c r="N16">
        <v>613126.30229693197</v>
      </c>
      <c r="O16">
        <v>41937.201931504802</v>
      </c>
      <c r="P16">
        <v>655063.50522843702</v>
      </c>
      <c r="R16">
        <v>8672.0059999999994</v>
      </c>
      <c r="S16">
        <v>117048.010204979</v>
      </c>
    </row>
    <row r="17" spans="1:19" x14ac:dyDescent="0.25">
      <c r="A17">
        <v>8669.0059999999994</v>
      </c>
      <c r="B17">
        <v>2007.11077082325</v>
      </c>
      <c r="C17">
        <v>8673.0059999999994</v>
      </c>
      <c r="D17">
        <v>122927.07284978199</v>
      </c>
      <c r="E17">
        <v>326509.73304021597</v>
      </c>
      <c r="F17">
        <v>449436.80588999798</v>
      </c>
      <c r="G17">
        <v>326624.504980347</v>
      </c>
      <c r="H17">
        <v>66934.597570000304</v>
      </c>
      <c r="J17">
        <v>8673.0059999999994</v>
      </c>
      <c r="K17">
        <v>68969.939719294998</v>
      </c>
      <c r="M17">
        <v>8673.0059999999994</v>
      </c>
      <c r="N17">
        <v>613177.28229693195</v>
      </c>
      <c r="O17">
        <v>41942.037931504798</v>
      </c>
      <c r="P17">
        <v>655119.32022843696</v>
      </c>
      <c r="R17">
        <v>8673.0059999999994</v>
      </c>
      <c r="S17">
        <v>117059.249204979</v>
      </c>
    </row>
    <row r="18" spans="1:19" x14ac:dyDescent="0.25">
      <c r="A18">
        <v>8670.0059999999994</v>
      </c>
      <c r="B18">
        <v>2007.11077082325</v>
      </c>
      <c r="C18">
        <v>8674.0059999999994</v>
      </c>
      <c r="D18">
        <v>122929.44384978199</v>
      </c>
      <c r="E18">
        <v>326585.83204021602</v>
      </c>
      <c r="F18">
        <v>449515.27588999801</v>
      </c>
      <c r="G18">
        <v>326700.60398034699</v>
      </c>
      <c r="H18">
        <v>66934.6155700003</v>
      </c>
      <c r="J18">
        <v>8674.0059999999994</v>
      </c>
      <c r="K18">
        <v>68969.947719295</v>
      </c>
      <c r="M18">
        <v>8674.0059999999994</v>
      </c>
      <c r="N18">
        <v>613233.14429693203</v>
      </c>
      <c r="O18">
        <v>41946.872931504797</v>
      </c>
      <c r="P18">
        <v>655180.01722843701</v>
      </c>
      <c r="R18">
        <v>8674.0059999999994</v>
      </c>
      <c r="S18">
        <v>117072.64120497899</v>
      </c>
    </row>
    <row r="19" spans="1:19" x14ac:dyDescent="0.25">
      <c r="A19">
        <v>8671.0059999999994</v>
      </c>
      <c r="B19">
        <v>2007.11077082325</v>
      </c>
      <c r="C19">
        <v>8675.0059999999994</v>
      </c>
      <c r="D19">
        <v>122934.98884978201</v>
      </c>
      <c r="E19">
        <v>326659.11704021599</v>
      </c>
      <c r="F19">
        <v>449594.10588999803</v>
      </c>
      <c r="G19">
        <v>326773.88898034702</v>
      </c>
      <c r="H19">
        <v>66934.794570000304</v>
      </c>
      <c r="J19">
        <v>8675.0059999999994</v>
      </c>
      <c r="K19">
        <v>68970.035719295003</v>
      </c>
      <c r="M19">
        <v>8675.0059999999994</v>
      </c>
      <c r="N19">
        <v>613292.13329693198</v>
      </c>
      <c r="O19">
        <v>41951.7089315048</v>
      </c>
      <c r="P19">
        <v>655243.84222843696</v>
      </c>
      <c r="R19">
        <v>8675.0059999999994</v>
      </c>
      <c r="S19">
        <v>117086.439204979</v>
      </c>
    </row>
    <row r="20" spans="1:19" x14ac:dyDescent="0.25">
      <c r="A20">
        <v>8672.0059999999994</v>
      </c>
      <c r="B20">
        <v>2007.11077082325</v>
      </c>
      <c r="C20">
        <v>8676.0059999999994</v>
      </c>
      <c r="D20">
        <v>122941.70084978201</v>
      </c>
      <c r="E20">
        <v>326725.30504021602</v>
      </c>
      <c r="F20">
        <v>449667.00588999799</v>
      </c>
      <c r="G20">
        <v>326840.07698034699</v>
      </c>
      <c r="H20">
        <v>66935.145570000299</v>
      </c>
      <c r="J20">
        <v>8676.0059999999994</v>
      </c>
      <c r="K20">
        <v>68970.197719295</v>
      </c>
      <c r="M20">
        <v>8676.0059999999994</v>
      </c>
      <c r="N20">
        <v>613343.58329693205</v>
      </c>
      <c r="O20">
        <v>41956.543931504799</v>
      </c>
      <c r="P20">
        <v>655300.12722843699</v>
      </c>
      <c r="R20">
        <v>8676.0059999999994</v>
      </c>
      <c r="S20">
        <v>117100.08820497899</v>
      </c>
    </row>
    <row r="21" spans="1:19" x14ac:dyDescent="0.25">
      <c r="A21">
        <v>8673.0059999999994</v>
      </c>
      <c r="B21">
        <v>2007.11377082325</v>
      </c>
      <c r="C21">
        <v>8677.0059999999994</v>
      </c>
      <c r="D21">
        <v>122948.45884978199</v>
      </c>
      <c r="E21">
        <v>326792.997040216</v>
      </c>
      <c r="F21">
        <v>449741.455889998</v>
      </c>
      <c r="G21">
        <v>326907.76898034703</v>
      </c>
      <c r="H21">
        <v>66935.377570000303</v>
      </c>
      <c r="J21">
        <v>8677.0059999999994</v>
      </c>
      <c r="K21">
        <v>68970.308719295004</v>
      </c>
      <c r="M21">
        <v>8677.0059999999994</v>
      </c>
      <c r="N21">
        <v>613394.99129693198</v>
      </c>
      <c r="O21">
        <v>41961.378931504798</v>
      </c>
      <c r="P21">
        <v>655356.37022843701</v>
      </c>
      <c r="R21">
        <v>8677.0059999999994</v>
      </c>
      <c r="S21">
        <v>117113.416204979</v>
      </c>
    </row>
    <row r="22" spans="1:19" x14ac:dyDescent="0.25">
      <c r="A22">
        <v>8674.0059999999994</v>
      </c>
      <c r="B22">
        <v>2007.14377082325</v>
      </c>
      <c r="C22">
        <v>8678.0059999999994</v>
      </c>
      <c r="D22">
        <v>122953.076849782</v>
      </c>
      <c r="E22">
        <v>326858.22904021601</v>
      </c>
      <c r="F22">
        <v>449811.30588999798</v>
      </c>
      <c r="G22">
        <v>326973.00098034699</v>
      </c>
      <c r="H22">
        <v>66935.474570000297</v>
      </c>
      <c r="J22">
        <v>8678.0059999999994</v>
      </c>
      <c r="K22">
        <v>68970.355719294996</v>
      </c>
      <c r="M22">
        <v>8678.0059999999994</v>
      </c>
      <c r="N22">
        <v>613449.54229693196</v>
      </c>
      <c r="O22">
        <v>41966.214931504801</v>
      </c>
      <c r="P22">
        <v>655415.75622843695</v>
      </c>
      <c r="R22">
        <v>8678.0059999999994</v>
      </c>
      <c r="S22">
        <v>117125.64420497901</v>
      </c>
    </row>
    <row r="23" spans="1:19" x14ac:dyDescent="0.25">
      <c r="A23">
        <v>8675.0059999999994</v>
      </c>
      <c r="B23">
        <v>2007.2147708232501</v>
      </c>
      <c r="C23">
        <v>8679.0059999999994</v>
      </c>
      <c r="D23">
        <v>122954.123849782</v>
      </c>
      <c r="E23">
        <v>326934.74204021599</v>
      </c>
      <c r="F23">
        <v>449888.86588999798</v>
      </c>
      <c r="G23">
        <v>327049.51398034702</v>
      </c>
      <c r="H23">
        <v>66935.474570000297</v>
      </c>
      <c r="J23">
        <v>8679.0059999999994</v>
      </c>
      <c r="K23">
        <v>68970.355719294996</v>
      </c>
      <c r="M23">
        <v>8679.0059999999994</v>
      </c>
      <c r="N23">
        <v>613519.92029693199</v>
      </c>
      <c r="O23">
        <v>41971.0499315048</v>
      </c>
      <c r="P23">
        <v>655490.97022843699</v>
      </c>
      <c r="R23">
        <v>8679.0059999999994</v>
      </c>
      <c r="S23">
        <v>117138.312204979</v>
      </c>
    </row>
    <row r="24" spans="1:19" x14ac:dyDescent="0.25">
      <c r="A24">
        <v>8676.0059999999994</v>
      </c>
      <c r="B24">
        <v>2007.30677082325</v>
      </c>
      <c r="C24">
        <v>8680.0059999999994</v>
      </c>
      <c r="D24">
        <v>122954.129849782</v>
      </c>
      <c r="E24">
        <v>327022.08604021597</v>
      </c>
      <c r="F24">
        <v>449976.21588999801</v>
      </c>
      <c r="G24">
        <v>327136.85798034701</v>
      </c>
      <c r="H24">
        <v>66935.474570000297</v>
      </c>
      <c r="J24">
        <v>8680.0059999999994</v>
      </c>
      <c r="K24">
        <v>68970.355719294996</v>
      </c>
      <c r="M24">
        <v>8680.0059999999994</v>
      </c>
      <c r="N24">
        <v>613618.96129693196</v>
      </c>
      <c r="O24">
        <v>41975.884931504799</v>
      </c>
      <c r="P24">
        <v>655594.84722843696</v>
      </c>
      <c r="R24">
        <v>8680.0059999999994</v>
      </c>
      <c r="S24">
        <v>117152.566204979</v>
      </c>
    </row>
    <row r="25" spans="1:19" x14ac:dyDescent="0.25">
      <c r="A25">
        <v>8677.0059999999994</v>
      </c>
      <c r="B25">
        <v>2007.3977708232501</v>
      </c>
      <c r="C25">
        <v>8681.0059999999994</v>
      </c>
      <c r="D25">
        <v>122954.129849782</v>
      </c>
      <c r="E25">
        <v>327132.14604021597</v>
      </c>
      <c r="F25">
        <v>450086.27588999801</v>
      </c>
      <c r="G25">
        <v>327246.917980347</v>
      </c>
      <c r="H25">
        <v>66935.474570000297</v>
      </c>
      <c r="J25">
        <v>8681.0059999999994</v>
      </c>
      <c r="K25">
        <v>68970.355719294996</v>
      </c>
      <c r="M25">
        <v>8681.0059999999994</v>
      </c>
      <c r="N25">
        <v>613746.38829693198</v>
      </c>
      <c r="O25">
        <v>41980.720931504802</v>
      </c>
      <c r="P25">
        <v>655727.10922843695</v>
      </c>
      <c r="R25">
        <v>8681.0059999999994</v>
      </c>
      <c r="S25">
        <v>117172.34920497899</v>
      </c>
    </row>
    <row r="26" spans="1:19" x14ac:dyDescent="0.25">
      <c r="A26">
        <v>8678.0059999999994</v>
      </c>
      <c r="B26">
        <v>2007.4637708232499</v>
      </c>
      <c r="C26">
        <v>8682.0059999999994</v>
      </c>
      <c r="D26">
        <v>122954.129849782</v>
      </c>
      <c r="E26">
        <v>327246.986040216</v>
      </c>
      <c r="F26">
        <v>450201.11588999798</v>
      </c>
      <c r="G26">
        <v>327361.75798034703</v>
      </c>
      <c r="H26">
        <v>66935.474570000297</v>
      </c>
      <c r="J26">
        <v>8682.0059999999994</v>
      </c>
      <c r="K26">
        <v>68970.355719294996</v>
      </c>
      <c r="M26">
        <v>8682.0059999999994</v>
      </c>
      <c r="N26">
        <v>613882.77629693202</v>
      </c>
      <c r="O26">
        <v>41985.555931504801</v>
      </c>
      <c r="P26">
        <v>655868.33222843695</v>
      </c>
      <c r="R26">
        <v>8682.0059999999994</v>
      </c>
      <c r="S26">
        <v>117190.64420497901</v>
      </c>
    </row>
    <row r="27" spans="1:19" x14ac:dyDescent="0.25">
      <c r="A27">
        <v>8679.0059999999994</v>
      </c>
      <c r="B27">
        <v>2007.47677082325</v>
      </c>
      <c r="C27">
        <v>8683.0059999999994</v>
      </c>
      <c r="D27">
        <v>122954.129849782</v>
      </c>
      <c r="E27">
        <v>327346.796040216</v>
      </c>
      <c r="F27">
        <v>450300.92588999798</v>
      </c>
      <c r="G27">
        <v>327461.56798034703</v>
      </c>
      <c r="H27">
        <v>66935.474570000297</v>
      </c>
      <c r="J27">
        <v>8683.0059999999994</v>
      </c>
      <c r="K27">
        <v>68970.355719294996</v>
      </c>
      <c r="M27">
        <v>8683.0059999999994</v>
      </c>
      <c r="N27">
        <v>614000.12229693204</v>
      </c>
      <c r="O27">
        <v>41990.391931504797</v>
      </c>
      <c r="P27">
        <v>655990.51422843698</v>
      </c>
      <c r="R27">
        <v>8683.0059999999994</v>
      </c>
      <c r="S27">
        <v>117206.168204979</v>
      </c>
    </row>
    <row r="28" spans="1:19" x14ac:dyDescent="0.25">
      <c r="A28">
        <v>8680.0059999999994</v>
      </c>
      <c r="B28">
        <v>2007.47677082325</v>
      </c>
      <c r="C28">
        <v>8684.0059999999994</v>
      </c>
      <c r="D28">
        <v>122954.129849782</v>
      </c>
      <c r="E28">
        <v>327432.31604021601</v>
      </c>
      <c r="F28">
        <v>450386.44588999799</v>
      </c>
      <c r="G28">
        <v>327547.08798034699</v>
      </c>
      <c r="H28">
        <v>66935.474570000297</v>
      </c>
      <c r="J28">
        <v>8684.0059999999994</v>
      </c>
      <c r="K28">
        <v>68970.355719294996</v>
      </c>
      <c r="M28">
        <v>8684.0059999999994</v>
      </c>
      <c r="N28">
        <v>614097.66929693206</v>
      </c>
      <c r="O28">
        <v>41995.226931504803</v>
      </c>
      <c r="P28">
        <v>656092.89622843696</v>
      </c>
      <c r="R28">
        <v>8684.0059999999994</v>
      </c>
      <c r="S28">
        <v>117221.536204979</v>
      </c>
    </row>
    <row r="29" spans="1:19" x14ac:dyDescent="0.25">
      <c r="A29">
        <v>8681.0059999999994</v>
      </c>
      <c r="B29">
        <v>2007.47677082325</v>
      </c>
      <c r="C29">
        <v>8685.0059999999994</v>
      </c>
      <c r="D29">
        <v>122954.129849782</v>
      </c>
      <c r="E29">
        <v>327507.90604021598</v>
      </c>
      <c r="F29">
        <v>450462.03588999802</v>
      </c>
      <c r="G29">
        <v>327622.67798034701</v>
      </c>
      <c r="H29">
        <v>66935.474570000297</v>
      </c>
      <c r="J29">
        <v>8685.0059999999994</v>
      </c>
      <c r="K29">
        <v>68970.355719294996</v>
      </c>
      <c r="M29">
        <v>8685.0059999999994</v>
      </c>
      <c r="N29">
        <v>614179.32229693199</v>
      </c>
      <c r="O29">
        <v>42000.061931504802</v>
      </c>
      <c r="P29">
        <v>656179.38422843697</v>
      </c>
      <c r="R29">
        <v>8685.0059999999994</v>
      </c>
      <c r="S29">
        <v>117235.203204979</v>
      </c>
    </row>
    <row r="30" spans="1:19" x14ac:dyDescent="0.25">
      <c r="A30">
        <v>8682.0059999999994</v>
      </c>
      <c r="B30">
        <v>2007.47677082325</v>
      </c>
      <c r="C30">
        <v>8686.0059999999994</v>
      </c>
      <c r="D30">
        <v>122954.129849782</v>
      </c>
      <c r="E30">
        <v>327571.93604021601</v>
      </c>
      <c r="F30">
        <v>450526.06588999799</v>
      </c>
      <c r="G30">
        <v>327686.70798034698</v>
      </c>
      <c r="H30">
        <v>66935.474570000297</v>
      </c>
      <c r="J30">
        <v>8686.0059999999994</v>
      </c>
      <c r="K30">
        <v>68970.355719294996</v>
      </c>
      <c r="M30">
        <v>8686.0059999999994</v>
      </c>
      <c r="N30">
        <v>614246.19529693201</v>
      </c>
      <c r="O30">
        <v>42004.897931504798</v>
      </c>
      <c r="P30">
        <v>656251.09222843696</v>
      </c>
      <c r="R30">
        <v>8686.0059999999994</v>
      </c>
      <c r="S30">
        <v>117246.74320497899</v>
      </c>
    </row>
    <row r="31" spans="1:19" x14ac:dyDescent="0.25">
      <c r="A31">
        <v>8683.0059999999994</v>
      </c>
      <c r="B31">
        <v>2007.47677082325</v>
      </c>
      <c r="C31">
        <v>8687.0059999999994</v>
      </c>
      <c r="D31">
        <v>122954.129849782</v>
      </c>
      <c r="E31">
        <v>327623.116040216</v>
      </c>
      <c r="F31">
        <v>450577.24588999798</v>
      </c>
      <c r="G31">
        <v>327738.07798034698</v>
      </c>
      <c r="H31">
        <v>66935.474570000297</v>
      </c>
      <c r="J31">
        <v>8687.0059999999994</v>
      </c>
      <c r="K31">
        <v>68970.355719294996</v>
      </c>
      <c r="M31">
        <v>8687.0059999999994</v>
      </c>
      <c r="N31">
        <v>614299.11729693203</v>
      </c>
      <c r="O31">
        <v>42009.732931504797</v>
      </c>
      <c r="P31">
        <v>656308.85122843704</v>
      </c>
      <c r="R31">
        <v>8687.0059999999994</v>
      </c>
      <c r="S31">
        <v>117258.960204979</v>
      </c>
    </row>
    <row r="32" spans="1:19" x14ac:dyDescent="0.25">
      <c r="A32">
        <v>8684.0059999999994</v>
      </c>
      <c r="B32">
        <v>2007.47677082325</v>
      </c>
      <c r="C32">
        <v>8688.0059999999994</v>
      </c>
      <c r="D32">
        <v>122954.129849782</v>
      </c>
      <c r="E32">
        <v>327665.25604021602</v>
      </c>
      <c r="F32">
        <v>450619.385889998</v>
      </c>
      <c r="G32">
        <v>327780.21798034699</v>
      </c>
      <c r="H32">
        <v>66935.474570000297</v>
      </c>
      <c r="J32">
        <v>8688.0059999999994</v>
      </c>
      <c r="K32">
        <v>68970.355719294996</v>
      </c>
      <c r="M32">
        <v>8688.0059999999994</v>
      </c>
      <c r="N32">
        <v>614347.59229693201</v>
      </c>
      <c r="O32">
        <v>42014.567931504796</v>
      </c>
      <c r="P32">
        <v>656362.16122843698</v>
      </c>
      <c r="R32">
        <v>8688.0059999999994</v>
      </c>
      <c r="S32">
        <v>117272.13720497899</v>
      </c>
    </row>
    <row r="33" spans="1:19" x14ac:dyDescent="0.25">
      <c r="A33">
        <v>8685.0059999999994</v>
      </c>
      <c r="B33">
        <v>2007.47677082325</v>
      </c>
      <c r="C33">
        <v>8689.0059999999994</v>
      </c>
      <c r="D33">
        <v>122954.129849782</v>
      </c>
      <c r="E33">
        <v>327702.02604021598</v>
      </c>
      <c r="F33">
        <v>450656.15588999802</v>
      </c>
      <c r="G33">
        <v>327816.98798034701</v>
      </c>
      <c r="H33">
        <v>66935.474570000297</v>
      </c>
      <c r="J33">
        <v>8689.0059999999994</v>
      </c>
      <c r="K33">
        <v>68970.355719294996</v>
      </c>
      <c r="M33">
        <v>8689.0059999999994</v>
      </c>
      <c r="N33">
        <v>614389.86329693196</v>
      </c>
      <c r="O33">
        <v>42019.403931504799</v>
      </c>
      <c r="P33">
        <v>656409.26722843701</v>
      </c>
      <c r="R33">
        <v>8689.0059999999994</v>
      </c>
      <c r="S33">
        <v>117284.085204979</v>
      </c>
    </row>
    <row r="34" spans="1:19" x14ac:dyDescent="0.25">
      <c r="A34">
        <v>8686.0059999999994</v>
      </c>
      <c r="B34">
        <v>2007.47677082325</v>
      </c>
      <c r="C34">
        <v>8690.0059999999994</v>
      </c>
      <c r="D34">
        <v>122954.129849782</v>
      </c>
      <c r="E34">
        <v>327735.176040216</v>
      </c>
      <c r="F34">
        <v>450689.30588999798</v>
      </c>
      <c r="G34">
        <v>327850.13798034698</v>
      </c>
      <c r="H34">
        <v>66935.474570000297</v>
      </c>
      <c r="J34">
        <v>8690.0059999999994</v>
      </c>
      <c r="K34">
        <v>68970.355719294996</v>
      </c>
      <c r="M34">
        <v>8690.0059999999994</v>
      </c>
      <c r="N34">
        <v>614428.16929693206</v>
      </c>
      <c r="O34">
        <v>42024.238931504799</v>
      </c>
      <c r="P34">
        <v>656452.409228437</v>
      </c>
      <c r="R34">
        <v>8690.0059999999994</v>
      </c>
      <c r="S34">
        <v>117295.067204979</v>
      </c>
    </row>
    <row r="35" spans="1:19" x14ac:dyDescent="0.25">
      <c r="A35">
        <v>8687.0059999999994</v>
      </c>
      <c r="B35">
        <v>2007.47677082325</v>
      </c>
      <c r="C35">
        <v>8691.0059999999994</v>
      </c>
      <c r="D35">
        <v>122954.129849782</v>
      </c>
      <c r="E35">
        <v>327766.97604021599</v>
      </c>
      <c r="F35">
        <v>450721.10588999803</v>
      </c>
      <c r="G35">
        <v>327881.93798034702</v>
      </c>
      <c r="H35">
        <v>66935.474570000297</v>
      </c>
      <c r="J35">
        <v>8691.0059999999994</v>
      </c>
      <c r="K35">
        <v>68970.355719294996</v>
      </c>
      <c r="M35">
        <v>8691.0059999999994</v>
      </c>
      <c r="N35">
        <v>614465.24829693197</v>
      </c>
      <c r="O35">
        <v>42029.074931504801</v>
      </c>
      <c r="P35">
        <v>656494.32322843699</v>
      </c>
      <c r="R35">
        <v>8691.0059999999994</v>
      </c>
      <c r="S35">
        <v>117307.218204979</v>
      </c>
    </row>
    <row r="36" spans="1:19" x14ac:dyDescent="0.25">
      <c r="A36">
        <v>8688.0059999999994</v>
      </c>
      <c r="B36">
        <v>2007.47677082325</v>
      </c>
      <c r="C36">
        <v>8692.0059999999994</v>
      </c>
      <c r="D36">
        <v>122954.129849782</v>
      </c>
      <c r="E36">
        <v>327796.91604021599</v>
      </c>
      <c r="F36">
        <v>450751.04588999797</v>
      </c>
      <c r="G36">
        <v>327911.87798034702</v>
      </c>
      <c r="H36">
        <v>66935.474570000297</v>
      </c>
      <c r="J36">
        <v>8692.0059999999994</v>
      </c>
      <c r="K36">
        <v>68970.355719294996</v>
      </c>
      <c r="M36">
        <v>8692.0059999999994</v>
      </c>
      <c r="N36">
        <v>614502.25829693198</v>
      </c>
      <c r="O36">
        <v>42033.909931504801</v>
      </c>
      <c r="P36">
        <v>656536.16822843696</v>
      </c>
      <c r="R36">
        <v>8692.0059999999994</v>
      </c>
      <c r="S36">
        <v>117320.244204979</v>
      </c>
    </row>
    <row r="37" spans="1:19" x14ac:dyDescent="0.25">
      <c r="A37">
        <v>8689.0059999999994</v>
      </c>
      <c r="B37">
        <v>2007.47677082325</v>
      </c>
      <c r="C37">
        <v>8693.0059999999994</v>
      </c>
      <c r="D37">
        <v>122954.129849782</v>
      </c>
      <c r="E37">
        <v>327828.77604021598</v>
      </c>
      <c r="F37">
        <v>450782.90588999802</v>
      </c>
      <c r="G37">
        <v>327943.73798034701</v>
      </c>
      <c r="H37">
        <v>66935.474570000297</v>
      </c>
      <c r="J37">
        <v>8693.0059999999994</v>
      </c>
      <c r="K37">
        <v>68970.355719294996</v>
      </c>
      <c r="M37">
        <v>8693.0059999999994</v>
      </c>
      <c r="N37">
        <v>614544.32629693195</v>
      </c>
      <c r="O37">
        <v>42038.7449315048</v>
      </c>
      <c r="P37">
        <v>656583.07222843706</v>
      </c>
      <c r="R37">
        <v>8693.0059999999994</v>
      </c>
      <c r="S37">
        <v>117334.74720497899</v>
      </c>
    </row>
    <row r="38" spans="1:19" x14ac:dyDescent="0.25">
      <c r="A38">
        <v>8690.0059999999994</v>
      </c>
      <c r="B38">
        <v>2007.47677082325</v>
      </c>
      <c r="C38">
        <v>8694.0059999999994</v>
      </c>
      <c r="D38">
        <v>122954.129849782</v>
      </c>
      <c r="E38">
        <v>327870.65604021598</v>
      </c>
      <c r="F38">
        <v>450824.78588999802</v>
      </c>
      <c r="G38">
        <v>327985.61798034701</v>
      </c>
      <c r="H38">
        <v>66935.474570000297</v>
      </c>
      <c r="J38">
        <v>8694.0059999999994</v>
      </c>
      <c r="K38">
        <v>68970.355719294996</v>
      </c>
      <c r="M38">
        <v>8694.0059999999994</v>
      </c>
      <c r="N38">
        <v>614601.46929693199</v>
      </c>
      <c r="O38">
        <v>42043.580931504803</v>
      </c>
      <c r="P38">
        <v>656645.04922843701</v>
      </c>
      <c r="R38">
        <v>8694.0059999999994</v>
      </c>
      <c r="S38">
        <v>117356.234204979</v>
      </c>
    </row>
    <row r="39" spans="1:19" x14ac:dyDescent="0.25">
      <c r="A39">
        <v>8691.0059999999994</v>
      </c>
      <c r="B39">
        <v>2007.47677082325</v>
      </c>
      <c r="C39">
        <v>8695.0059999999994</v>
      </c>
      <c r="D39">
        <v>122954.129849782</v>
      </c>
      <c r="E39">
        <v>327919.296040216</v>
      </c>
      <c r="F39">
        <v>450873.42588999798</v>
      </c>
      <c r="G39">
        <v>328034.25798034703</v>
      </c>
      <c r="H39">
        <v>66935.474570000297</v>
      </c>
      <c r="J39">
        <v>8695.0059999999994</v>
      </c>
      <c r="K39">
        <v>68970.355719294996</v>
      </c>
      <c r="M39">
        <v>8695.0059999999994</v>
      </c>
      <c r="N39">
        <v>614673.64029693196</v>
      </c>
      <c r="O39">
        <v>42048.415931504802</v>
      </c>
      <c r="P39">
        <v>656722.05722843704</v>
      </c>
      <c r="R39">
        <v>8695.0059999999994</v>
      </c>
      <c r="S39">
        <v>117385.23520497901</v>
      </c>
    </row>
    <row r="40" spans="1:19" x14ac:dyDescent="0.25">
      <c r="A40">
        <v>8692.0059999999994</v>
      </c>
      <c r="B40">
        <v>2007.47677082325</v>
      </c>
      <c r="C40">
        <v>8696.0059999999994</v>
      </c>
      <c r="D40">
        <v>122954.19384978199</v>
      </c>
      <c r="E40">
        <v>327972.442040216</v>
      </c>
      <c r="F40">
        <v>450926.635889998</v>
      </c>
      <c r="G40">
        <v>328087.40398034698</v>
      </c>
      <c r="H40">
        <v>66935.474570000297</v>
      </c>
      <c r="J40">
        <v>8696.0059999999994</v>
      </c>
      <c r="K40">
        <v>68970.355719294996</v>
      </c>
      <c r="M40">
        <v>8696.0059999999994</v>
      </c>
      <c r="N40">
        <v>614757.25529693195</v>
      </c>
      <c r="O40">
        <v>42053.250931504801</v>
      </c>
      <c r="P40">
        <v>656810.50622843695</v>
      </c>
      <c r="R40">
        <v>8696.0059999999994</v>
      </c>
      <c r="S40">
        <v>117418.57220497901</v>
      </c>
    </row>
    <row r="41" spans="1:19" x14ac:dyDescent="0.25">
      <c r="A41">
        <v>8693.0059999999994</v>
      </c>
      <c r="B41">
        <v>2007.47677082325</v>
      </c>
      <c r="C41">
        <v>8697.0059999999994</v>
      </c>
      <c r="D41">
        <v>122957.472849782</v>
      </c>
      <c r="E41">
        <v>328032.66304021602</v>
      </c>
      <c r="F41">
        <v>450990.135889998</v>
      </c>
      <c r="G41">
        <v>328147.624980347</v>
      </c>
      <c r="H41">
        <v>66935.555570000302</v>
      </c>
      <c r="J41">
        <v>8697.0059999999994</v>
      </c>
      <c r="K41">
        <v>68970.443719294999</v>
      </c>
      <c r="M41">
        <v>8697.0059999999994</v>
      </c>
      <c r="N41">
        <v>614864.62529693195</v>
      </c>
      <c r="O41">
        <v>42058.086931504797</v>
      </c>
      <c r="P41">
        <v>656922.71222843695</v>
      </c>
      <c r="R41">
        <v>8697.0059999999994</v>
      </c>
      <c r="S41">
        <v>117458.234204979</v>
      </c>
    </row>
    <row r="42" spans="1:19" x14ac:dyDescent="0.25">
      <c r="A42">
        <v>8694.0059999999994</v>
      </c>
      <c r="B42">
        <v>2007.47677082325</v>
      </c>
      <c r="C42">
        <v>8698.0059999999994</v>
      </c>
      <c r="D42">
        <v>122969.914849782</v>
      </c>
      <c r="E42">
        <v>328088.79104021599</v>
      </c>
      <c r="F42">
        <v>451058.705889998</v>
      </c>
      <c r="G42">
        <v>328203.75298034702</v>
      </c>
      <c r="H42">
        <v>66938.669570000304</v>
      </c>
      <c r="J42">
        <v>8698.0059999999994</v>
      </c>
      <c r="K42">
        <v>68973.601719294995</v>
      </c>
      <c r="M42">
        <v>8698.0059999999994</v>
      </c>
      <c r="N42">
        <v>614965.99729693204</v>
      </c>
      <c r="O42">
        <v>42062.921931504803</v>
      </c>
      <c r="P42">
        <v>657028.91922843701</v>
      </c>
      <c r="R42">
        <v>8698.0059999999994</v>
      </c>
      <c r="S42">
        <v>117494.26620497899</v>
      </c>
    </row>
    <row r="43" spans="1:19" x14ac:dyDescent="0.25">
      <c r="A43">
        <v>8695.0059999999994</v>
      </c>
      <c r="B43">
        <v>2007.47677082325</v>
      </c>
      <c r="C43">
        <v>8699.0059999999994</v>
      </c>
      <c r="D43">
        <v>122988.065849782</v>
      </c>
      <c r="E43">
        <v>328141.81004021602</v>
      </c>
      <c r="F43">
        <v>451129.87588999799</v>
      </c>
      <c r="G43">
        <v>328256.771980347</v>
      </c>
      <c r="H43">
        <v>66945.357570000298</v>
      </c>
      <c r="J43">
        <v>8699.0059999999994</v>
      </c>
      <c r="K43">
        <v>68979.484719294996</v>
      </c>
      <c r="M43">
        <v>8699.0059999999994</v>
      </c>
      <c r="N43">
        <v>615050.04629693204</v>
      </c>
      <c r="O43">
        <v>42067.757931504799</v>
      </c>
      <c r="P43">
        <v>657117.80322843697</v>
      </c>
      <c r="R43">
        <v>8699.0059999999994</v>
      </c>
      <c r="S43">
        <v>117527.649204979</v>
      </c>
    </row>
    <row r="44" spans="1:19" x14ac:dyDescent="0.25">
      <c r="A44">
        <v>8696.0059999999994</v>
      </c>
      <c r="B44">
        <v>2007.47777082325</v>
      </c>
      <c r="C44">
        <v>8700.0059999999994</v>
      </c>
      <c r="D44">
        <v>123005.368849782</v>
      </c>
      <c r="E44">
        <v>328185.41704021598</v>
      </c>
      <c r="F44">
        <v>451190.78588999802</v>
      </c>
      <c r="G44">
        <v>328300.37898034701</v>
      </c>
      <c r="H44">
        <v>66951.636570000293</v>
      </c>
      <c r="J44">
        <v>8700.0059999999994</v>
      </c>
      <c r="K44">
        <v>68984.576719295001</v>
      </c>
      <c r="M44">
        <v>8700.0059999999994</v>
      </c>
      <c r="N44">
        <v>615116.76529693196</v>
      </c>
      <c r="O44">
        <v>42072.592931504798</v>
      </c>
      <c r="P44">
        <v>657189.35822843702</v>
      </c>
      <c r="R44">
        <v>8700.0059999999994</v>
      </c>
      <c r="S44">
        <v>117553.74320497899</v>
      </c>
    </row>
    <row r="45" spans="1:19" x14ac:dyDescent="0.25">
      <c r="A45">
        <v>8697.0059999999994</v>
      </c>
      <c r="B45">
        <v>2007.5297708232499</v>
      </c>
      <c r="C45">
        <v>8701.0059999999994</v>
      </c>
      <c r="D45">
        <v>123017.50084978199</v>
      </c>
      <c r="E45">
        <v>328233.785040216</v>
      </c>
      <c r="F45">
        <v>451251.28588999802</v>
      </c>
      <c r="G45">
        <v>328348.74698034697</v>
      </c>
      <c r="H45">
        <v>66954.227570000294</v>
      </c>
      <c r="J45">
        <v>8701.0059999999994</v>
      </c>
      <c r="K45">
        <v>68986.838719295003</v>
      </c>
      <c r="M45">
        <v>8701.0059999999994</v>
      </c>
      <c r="N45">
        <v>615187.88429693202</v>
      </c>
      <c r="O45">
        <v>42077.427931504797</v>
      </c>
      <c r="P45">
        <v>657265.31322843698</v>
      </c>
      <c r="R45">
        <v>8701.0059999999994</v>
      </c>
      <c r="S45">
        <v>117579.965204979</v>
      </c>
    </row>
    <row r="46" spans="1:19" x14ac:dyDescent="0.25">
      <c r="A46">
        <v>8698.0059999999994</v>
      </c>
      <c r="B46">
        <v>2007.7117708232499</v>
      </c>
      <c r="C46">
        <v>8702.0059999999994</v>
      </c>
      <c r="D46">
        <v>123022.764849782</v>
      </c>
      <c r="E46">
        <v>328290.03104021598</v>
      </c>
      <c r="F46">
        <v>451312.79588999797</v>
      </c>
      <c r="G46">
        <v>328404.99298034701</v>
      </c>
      <c r="H46">
        <v>66954.354570000301</v>
      </c>
      <c r="J46">
        <v>8702.0059999999994</v>
      </c>
      <c r="K46">
        <v>68986.947719295</v>
      </c>
      <c r="M46">
        <v>8702.0059999999994</v>
      </c>
      <c r="N46">
        <v>615267.48229693202</v>
      </c>
      <c r="O46">
        <v>42082.2639315048</v>
      </c>
      <c r="P46">
        <v>657349.74622843706</v>
      </c>
      <c r="R46">
        <v>8702.0059999999994</v>
      </c>
      <c r="S46">
        <v>117606.59120497901</v>
      </c>
    </row>
    <row r="47" spans="1:19" x14ac:dyDescent="0.25">
      <c r="A47">
        <v>8699.0059999999994</v>
      </c>
      <c r="B47">
        <v>2007.96677082325</v>
      </c>
      <c r="C47">
        <v>8703.0059999999994</v>
      </c>
      <c r="D47">
        <v>123023.243849782</v>
      </c>
      <c r="E47">
        <v>328356.18204021599</v>
      </c>
      <c r="F47">
        <v>451379.42588999798</v>
      </c>
      <c r="G47">
        <v>328471.14398034703</v>
      </c>
      <c r="H47">
        <v>66954.354570000301</v>
      </c>
      <c r="J47">
        <v>8703.0059999999994</v>
      </c>
      <c r="K47">
        <v>68986.947719295</v>
      </c>
      <c r="M47">
        <v>8703.0059999999994</v>
      </c>
      <c r="N47">
        <v>615360.25729693205</v>
      </c>
      <c r="O47">
        <v>42087.098931504799</v>
      </c>
      <c r="P47">
        <v>657447.35622843704</v>
      </c>
      <c r="R47">
        <v>8703.0059999999994</v>
      </c>
      <c r="S47">
        <v>117632.903204979</v>
      </c>
    </row>
    <row r="48" spans="1:19" x14ac:dyDescent="0.25">
      <c r="A48">
        <v>8700.0059999999994</v>
      </c>
      <c r="B48">
        <v>2008.2507708232499</v>
      </c>
      <c r="C48">
        <v>8704.0059999999994</v>
      </c>
      <c r="D48">
        <v>123023.245849782</v>
      </c>
      <c r="E48">
        <v>328441.410040216</v>
      </c>
      <c r="F48">
        <v>451464.65588999802</v>
      </c>
      <c r="G48">
        <v>328556.37198034697</v>
      </c>
      <c r="H48">
        <v>66954.354570000301</v>
      </c>
      <c r="J48">
        <v>8704.0059999999994</v>
      </c>
      <c r="K48">
        <v>68986.947719295</v>
      </c>
      <c r="M48">
        <v>8704.0059999999994</v>
      </c>
      <c r="N48">
        <v>615482.52129693201</v>
      </c>
      <c r="O48">
        <v>42091.933931504798</v>
      </c>
      <c r="P48">
        <v>657574.45622843702</v>
      </c>
      <c r="R48">
        <v>8704.0059999999994</v>
      </c>
      <c r="S48">
        <v>117662.270204979</v>
      </c>
    </row>
    <row r="49" spans="1:19" x14ac:dyDescent="0.25">
      <c r="A49">
        <v>8701.0059999999994</v>
      </c>
      <c r="B49">
        <v>2008.45077082325</v>
      </c>
      <c r="C49">
        <v>8705.0059999999994</v>
      </c>
      <c r="D49">
        <v>123023.245849782</v>
      </c>
      <c r="E49">
        <v>328552.12004021602</v>
      </c>
      <c r="F49">
        <v>451575.36588999798</v>
      </c>
      <c r="G49">
        <v>328667.08198034699</v>
      </c>
      <c r="H49">
        <v>66954.354570000301</v>
      </c>
      <c r="J49">
        <v>8705.0059999999994</v>
      </c>
      <c r="K49">
        <v>68986.947719295</v>
      </c>
      <c r="M49">
        <v>8705.0059999999994</v>
      </c>
      <c r="N49">
        <v>615636.88229693205</v>
      </c>
      <c r="O49">
        <v>42096.769931504801</v>
      </c>
      <c r="P49">
        <v>657733.65122843697</v>
      </c>
      <c r="R49">
        <v>8705.0059999999994</v>
      </c>
      <c r="S49">
        <v>117697.556204979</v>
      </c>
    </row>
    <row r="50" spans="1:19" x14ac:dyDescent="0.25">
      <c r="A50">
        <v>8702.0059999999994</v>
      </c>
      <c r="B50">
        <v>2008.53677082325</v>
      </c>
      <c r="C50">
        <v>8706.0059999999994</v>
      </c>
      <c r="D50">
        <v>123023.245849782</v>
      </c>
      <c r="E50">
        <v>328669.96004021598</v>
      </c>
      <c r="F50">
        <v>451693.205889998</v>
      </c>
      <c r="G50">
        <v>328784.92198034702</v>
      </c>
      <c r="H50">
        <v>66954.354570000301</v>
      </c>
      <c r="J50">
        <v>8706.0059999999994</v>
      </c>
      <c r="K50">
        <v>68986.947719295</v>
      </c>
      <c r="M50">
        <v>8706.0059999999994</v>
      </c>
      <c r="N50">
        <v>615795.64529693197</v>
      </c>
      <c r="O50">
        <v>42101.6049315048</v>
      </c>
      <c r="P50">
        <v>657897.25022843701</v>
      </c>
      <c r="R50">
        <v>8706.0059999999994</v>
      </c>
      <c r="S50">
        <v>117728.563204979</v>
      </c>
    </row>
    <row r="51" spans="1:19" x14ac:dyDescent="0.25">
      <c r="A51">
        <v>8703.0059999999994</v>
      </c>
      <c r="B51">
        <v>2008.54377082325</v>
      </c>
      <c r="C51">
        <v>8707.0059999999994</v>
      </c>
      <c r="D51">
        <v>123023.245849782</v>
      </c>
      <c r="E51">
        <v>328766.040040216</v>
      </c>
      <c r="F51">
        <v>451789.28588999802</v>
      </c>
      <c r="G51">
        <v>328881.00198034698</v>
      </c>
      <c r="H51">
        <v>66954.354570000301</v>
      </c>
      <c r="J51">
        <v>8707.0059999999994</v>
      </c>
      <c r="K51">
        <v>68986.947719295</v>
      </c>
      <c r="M51">
        <v>8707.0059999999994</v>
      </c>
      <c r="N51">
        <v>615913.479296932</v>
      </c>
      <c r="O51">
        <v>42106.440931504803</v>
      </c>
      <c r="P51">
        <v>658019.92022843705</v>
      </c>
      <c r="R51">
        <v>8707.0059999999994</v>
      </c>
      <c r="S51">
        <v>117750.257204979</v>
      </c>
    </row>
    <row r="52" spans="1:19" x14ac:dyDescent="0.25">
      <c r="A52">
        <v>8704.0059999999994</v>
      </c>
      <c r="B52">
        <v>2008.54377082325</v>
      </c>
      <c r="C52">
        <v>8708.0059999999994</v>
      </c>
      <c r="D52">
        <v>123023.245849782</v>
      </c>
      <c r="E52">
        <v>328855.290040216</v>
      </c>
      <c r="F52">
        <v>451878.53588999802</v>
      </c>
      <c r="G52">
        <v>328970.25198034698</v>
      </c>
      <c r="H52">
        <v>66954.354570000301</v>
      </c>
      <c r="J52">
        <v>8708.0059999999994</v>
      </c>
      <c r="K52">
        <v>68986.947719295</v>
      </c>
      <c r="M52">
        <v>8708.0059999999994</v>
      </c>
      <c r="N52">
        <v>615999.50129693199</v>
      </c>
      <c r="O52">
        <v>42111.275931504802</v>
      </c>
      <c r="P52">
        <v>658110.77722843701</v>
      </c>
      <c r="R52">
        <v>8708.0059999999994</v>
      </c>
      <c r="S52">
        <v>117767.21620497901</v>
      </c>
    </row>
    <row r="53" spans="1:19" x14ac:dyDescent="0.25">
      <c r="A53">
        <v>8705.0059999999994</v>
      </c>
      <c r="B53">
        <v>2008.54377082325</v>
      </c>
      <c r="C53">
        <v>8709.0059999999994</v>
      </c>
      <c r="D53">
        <v>123023.245849782</v>
      </c>
      <c r="E53">
        <v>328928.26004021597</v>
      </c>
      <c r="F53">
        <v>451951.50588999799</v>
      </c>
      <c r="G53">
        <v>329043.22198034701</v>
      </c>
      <c r="H53">
        <v>66954.354570000301</v>
      </c>
      <c r="J53">
        <v>8709.0059999999994</v>
      </c>
      <c r="K53">
        <v>68986.947719295</v>
      </c>
      <c r="M53">
        <v>8709.0059999999994</v>
      </c>
      <c r="N53">
        <v>616068.52629693202</v>
      </c>
      <c r="O53">
        <v>42116.110931504802</v>
      </c>
      <c r="P53">
        <v>658184.637228437</v>
      </c>
      <c r="R53">
        <v>8709.0059999999994</v>
      </c>
      <c r="S53">
        <v>117780.62220497899</v>
      </c>
    </row>
    <row r="54" spans="1:19" x14ac:dyDescent="0.25">
      <c r="A54">
        <v>8706.0059999999994</v>
      </c>
      <c r="B54">
        <v>2008.54377082325</v>
      </c>
      <c r="C54">
        <v>8710.0059999999994</v>
      </c>
      <c r="D54">
        <v>123023.245849782</v>
      </c>
      <c r="E54">
        <v>328995.12004021602</v>
      </c>
      <c r="F54">
        <v>452018.36588999798</v>
      </c>
      <c r="G54">
        <v>329110.08198034699</v>
      </c>
      <c r="H54">
        <v>66954.354570000301</v>
      </c>
      <c r="J54">
        <v>8710.0059999999994</v>
      </c>
      <c r="K54">
        <v>68986.947719295</v>
      </c>
      <c r="M54">
        <v>8710.0059999999994</v>
      </c>
      <c r="N54">
        <v>616129.92529693199</v>
      </c>
      <c r="O54">
        <v>42120.946931504797</v>
      </c>
      <c r="P54">
        <v>658250.87222843699</v>
      </c>
      <c r="R54">
        <v>8710.0059999999994</v>
      </c>
      <c r="S54">
        <v>117791.895204979</v>
      </c>
    </row>
    <row r="55" spans="1:19" x14ac:dyDescent="0.25">
      <c r="A55">
        <v>8707.0059999999994</v>
      </c>
      <c r="B55">
        <v>2008.54377082325</v>
      </c>
      <c r="C55">
        <v>8711.0059999999994</v>
      </c>
      <c r="D55">
        <v>123023.245849782</v>
      </c>
      <c r="E55">
        <v>329050.43004021602</v>
      </c>
      <c r="F55">
        <v>452073.67588999798</v>
      </c>
      <c r="G55">
        <v>329165.39198034699</v>
      </c>
      <c r="H55">
        <v>66954.354570000301</v>
      </c>
      <c r="J55">
        <v>8711.0059999999994</v>
      </c>
      <c r="K55">
        <v>68986.947719295</v>
      </c>
      <c r="M55">
        <v>8711.0059999999994</v>
      </c>
      <c r="N55">
        <v>616178.65529693197</v>
      </c>
      <c r="O55">
        <v>42125.781931504796</v>
      </c>
      <c r="P55">
        <v>658304.43722843705</v>
      </c>
      <c r="R55">
        <v>8711.0059999999994</v>
      </c>
      <c r="S55">
        <v>117800.82620497901</v>
      </c>
    </row>
    <row r="56" spans="1:19" x14ac:dyDescent="0.25">
      <c r="A56">
        <v>8708.0059999999994</v>
      </c>
      <c r="B56">
        <v>2008.54377082325</v>
      </c>
      <c r="C56">
        <v>8712.0059999999994</v>
      </c>
      <c r="D56">
        <v>123023.245849782</v>
      </c>
      <c r="E56">
        <v>329093.51004021597</v>
      </c>
      <c r="F56">
        <v>452116.75588999799</v>
      </c>
      <c r="G56">
        <v>329208.47198034701</v>
      </c>
      <c r="H56">
        <v>66954.354570000301</v>
      </c>
      <c r="J56">
        <v>8712.0059999999994</v>
      </c>
      <c r="K56">
        <v>68986.947719295</v>
      </c>
      <c r="M56">
        <v>8712.0059999999994</v>
      </c>
      <c r="N56">
        <v>616225.35129693197</v>
      </c>
      <c r="O56">
        <v>42130.616931504803</v>
      </c>
      <c r="P56">
        <v>658355.96822843701</v>
      </c>
      <c r="R56">
        <v>8712.0059999999994</v>
      </c>
      <c r="S56">
        <v>117807.590204979</v>
      </c>
    </row>
    <row r="57" spans="1:19" x14ac:dyDescent="0.25">
      <c r="A57">
        <v>8709.0059999999994</v>
      </c>
      <c r="B57">
        <v>2008.54377082325</v>
      </c>
      <c r="C57">
        <v>8713.0059999999994</v>
      </c>
      <c r="D57">
        <v>123023.245849782</v>
      </c>
      <c r="E57">
        <v>329128.68004021602</v>
      </c>
      <c r="F57">
        <v>452151.92588999798</v>
      </c>
      <c r="G57">
        <v>329243.64198034699</v>
      </c>
      <c r="H57">
        <v>66954.354570000301</v>
      </c>
      <c r="J57">
        <v>8713.0059999999994</v>
      </c>
      <c r="K57">
        <v>68986.947719295</v>
      </c>
      <c r="M57">
        <v>8713.0059999999994</v>
      </c>
      <c r="N57">
        <v>616263.05329693202</v>
      </c>
      <c r="O57">
        <v>42135.452931504798</v>
      </c>
      <c r="P57">
        <v>658398.50622843695</v>
      </c>
      <c r="R57">
        <v>8713.0059999999994</v>
      </c>
      <c r="S57">
        <v>117812.559204979</v>
      </c>
    </row>
    <row r="58" spans="1:19" x14ac:dyDescent="0.25">
      <c r="A58">
        <v>8710.0059999999994</v>
      </c>
      <c r="B58">
        <v>2008.54377082325</v>
      </c>
      <c r="C58">
        <v>8714.0059999999994</v>
      </c>
      <c r="D58">
        <v>123023.245849782</v>
      </c>
      <c r="E58">
        <v>329162.55004021601</v>
      </c>
      <c r="F58">
        <v>452185.79588999797</v>
      </c>
      <c r="G58">
        <v>329277.51198034699</v>
      </c>
      <c r="H58">
        <v>66954.354570000301</v>
      </c>
      <c r="J58">
        <v>8714.0059999999994</v>
      </c>
      <c r="K58">
        <v>68986.947719295</v>
      </c>
      <c r="M58">
        <v>8714.0059999999994</v>
      </c>
      <c r="N58">
        <v>616299.08429693198</v>
      </c>
      <c r="O58">
        <v>42140.287931504798</v>
      </c>
      <c r="P58">
        <v>658439.37222843699</v>
      </c>
      <c r="R58">
        <v>8714.0059999999994</v>
      </c>
      <c r="S58">
        <v>117817.518204979</v>
      </c>
    </row>
    <row r="59" spans="1:19" x14ac:dyDescent="0.25">
      <c r="A59">
        <v>8711.0059999999994</v>
      </c>
      <c r="B59">
        <v>2008.54377082325</v>
      </c>
      <c r="C59">
        <v>8715.0059999999994</v>
      </c>
      <c r="D59">
        <v>123023.245849782</v>
      </c>
      <c r="E59">
        <v>329194.18004021602</v>
      </c>
      <c r="F59">
        <v>452217.42588999798</v>
      </c>
      <c r="G59">
        <v>329309.14198034699</v>
      </c>
      <c r="H59">
        <v>66954.354570000301</v>
      </c>
      <c r="J59">
        <v>8715.0059999999994</v>
      </c>
      <c r="K59">
        <v>68986.947719295</v>
      </c>
      <c r="M59">
        <v>8715.0059999999994</v>
      </c>
      <c r="N59">
        <v>616331.88229693205</v>
      </c>
      <c r="O59">
        <v>42145.123931504801</v>
      </c>
      <c r="P59">
        <v>658477.00622843695</v>
      </c>
      <c r="R59">
        <v>8715.0059999999994</v>
      </c>
      <c r="S59">
        <v>117822.65220497899</v>
      </c>
    </row>
    <row r="60" spans="1:19" x14ac:dyDescent="0.25">
      <c r="A60">
        <v>8712.0059999999994</v>
      </c>
      <c r="B60">
        <v>2008.54377082325</v>
      </c>
      <c r="C60">
        <v>8716.0059999999994</v>
      </c>
      <c r="D60">
        <v>123023.245849782</v>
      </c>
      <c r="E60">
        <v>329225.230040216</v>
      </c>
      <c r="F60">
        <v>452248.47588999802</v>
      </c>
      <c r="G60">
        <v>329340.19198034698</v>
      </c>
      <c r="H60">
        <v>66954.354570000301</v>
      </c>
      <c r="J60">
        <v>8716.0059999999994</v>
      </c>
      <c r="K60">
        <v>68986.947719295</v>
      </c>
      <c r="M60">
        <v>8716.0059999999994</v>
      </c>
      <c r="N60">
        <v>616364.35729693202</v>
      </c>
      <c r="O60">
        <v>42149.9589315048</v>
      </c>
      <c r="P60">
        <v>658514.316228437</v>
      </c>
      <c r="R60">
        <v>8716.0059999999994</v>
      </c>
      <c r="S60">
        <v>117827.055204979</v>
      </c>
    </row>
    <row r="61" spans="1:19" x14ac:dyDescent="0.25">
      <c r="A61">
        <v>8713.0059999999994</v>
      </c>
      <c r="B61">
        <v>2008.54377082325</v>
      </c>
      <c r="C61">
        <v>8717.0059999999994</v>
      </c>
      <c r="D61">
        <v>123023.245849782</v>
      </c>
      <c r="E61">
        <v>329258.74004021601</v>
      </c>
      <c r="F61">
        <v>452281.98588999797</v>
      </c>
      <c r="G61">
        <v>329373.75198034698</v>
      </c>
      <c r="H61">
        <v>66954.354570000301</v>
      </c>
      <c r="J61">
        <v>8717.0059999999994</v>
      </c>
      <c r="K61">
        <v>68986.947719295</v>
      </c>
      <c r="M61">
        <v>8717.0059999999994</v>
      </c>
      <c r="N61">
        <v>616400.18329693202</v>
      </c>
      <c r="O61">
        <v>42154.793931504799</v>
      </c>
      <c r="P61">
        <v>658554.97822843702</v>
      </c>
      <c r="R61">
        <v>8717.0059999999994</v>
      </c>
      <c r="S61">
        <v>117831.611204979</v>
      </c>
    </row>
    <row r="62" spans="1:19" x14ac:dyDescent="0.25">
      <c r="A62">
        <v>8714.0059999999994</v>
      </c>
      <c r="B62">
        <v>2008.54377082325</v>
      </c>
      <c r="C62">
        <v>8718.0059999999994</v>
      </c>
      <c r="D62">
        <v>123023.245849782</v>
      </c>
      <c r="E62">
        <v>329299.76004021597</v>
      </c>
      <c r="F62">
        <v>452323.00588999799</v>
      </c>
      <c r="G62">
        <v>329414.771980347</v>
      </c>
      <c r="H62">
        <v>66954.354570000301</v>
      </c>
      <c r="J62">
        <v>8718.0059999999994</v>
      </c>
      <c r="K62">
        <v>68986.947719295</v>
      </c>
      <c r="M62">
        <v>8718.0059999999994</v>
      </c>
      <c r="N62">
        <v>616444.43229693198</v>
      </c>
      <c r="O62">
        <v>42159.629931504802</v>
      </c>
      <c r="P62">
        <v>658604.06222843705</v>
      </c>
      <c r="R62">
        <v>8718.0059999999994</v>
      </c>
      <c r="S62">
        <v>117837.757204979</v>
      </c>
    </row>
    <row r="63" spans="1:19" x14ac:dyDescent="0.25">
      <c r="A63">
        <v>8715.0059999999994</v>
      </c>
      <c r="B63">
        <v>2008.54377082325</v>
      </c>
      <c r="C63">
        <v>8719.0059999999994</v>
      </c>
      <c r="D63">
        <v>123023.245849782</v>
      </c>
      <c r="E63">
        <v>329347.100040216</v>
      </c>
      <c r="F63">
        <v>452370.34588999802</v>
      </c>
      <c r="G63">
        <v>329462.19198034698</v>
      </c>
      <c r="H63">
        <v>66954.354570000301</v>
      </c>
      <c r="J63">
        <v>8719.0059999999994</v>
      </c>
      <c r="K63">
        <v>68986.947719295</v>
      </c>
      <c r="M63">
        <v>8719.0059999999994</v>
      </c>
      <c r="N63">
        <v>616495.51429693203</v>
      </c>
      <c r="O63">
        <v>42164.464931504801</v>
      </c>
      <c r="P63">
        <v>658659.97922843695</v>
      </c>
      <c r="R63">
        <v>8719.0059999999994</v>
      </c>
      <c r="S63">
        <v>117846.464204979</v>
      </c>
    </row>
    <row r="64" spans="1:19" x14ac:dyDescent="0.25">
      <c r="A64">
        <v>8716.0059999999994</v>
      </c>
      <c r="B64">
        <v>2008.54377082325</v>
      </c>
      <c r="C64">
        <v>8720.0059999999994</v>
      </c>
      <c r="D64">
        <v>123023.251849782</v>
      </c>
      <c r="E64">
        <v>329408.20404021599</v>
      </c>
      <c r="F64">
        <v>452431.455889998</v>
      </c>
      <c r="G64">
        <v>329523.29598034697</v>
      </c>
      <c r="H64">
        <v>66954.354570000301</v>
      </c>
      <c r="J64">
        <v>8720.0059999999994</v>
      </c>
      <c r="K64">
        <v>68986.947719295</v>
      </c>
      <c r="M64">
        <v>8720.0059999999994</v>
      </c>
      <c r="N64">
        <v>616561.702296932</v>
      </c>
      <c r="O64">
        <v>42169.2999315048</v>
      </c>
      <c r="P64">
        <v>658731.00222843699</v>
      </c>
      <c r="R64">
        <v>8720.0059999999994</v>
      </c>
      <c r="S64">
        <v>117859.295204979</v>
      </c>
    </row>
    <row r="65" spans="1:19" x14ac:dyDescent="0.25">
      <c r="A65">
        <v>8717.0059999999994</v>
      </c>
      <c r="B65">
        <v>2008.54377082325</v>
      </c>
      <c r="C65">
        <v>8721.0059999999994</v>
      </c>
      <c r="D65">
        <v>123023.877849782</v>
      </c>
      <c r="E65">
        <v>329474.47804021602</v>
      </c>
      <c r="F65">
        <v>452498.35588999803</v>
      </c>
      <c r="G65">
        <v>329589.56998034701</v>
      </c>
      <c r="H65">
        <v>66954.354570000301</v>
      </c>
      <c r="J65">
        <v>8721.0059999999994</v>
      </c>
      <c r="K65">
        <v>68986.947719295</v>
      </c>
      <c r="M65">
        <v>8721.0059999999994</v>
      </c>
      <c r="N65">
        <v>616634.082296932</v>
      </c>
      <c r="O65">
        <v>42174.135931504803</v>
      </c>
      <c r="P65">
        <v>658808.21822843701</v>
      </c>
      <c r="R65">
        <v>8721.0059999999994</v>
      </c>
      <c r="S65">
        <v>117873.12520497901</v>
      </c>
    </row>
    <row r="66" spans="1:19" x14ac:dyDescent="0.25">
      <c r="A66">
        <v>8718.0059999999994</v>
      </c>
      <c r="B66">
        <v>2008.54377082325</v>
      </c>
      <c r="C66">
        <v>8722.0059999999994</v>
      </c>
      <c r="D66">
        <v>123026.32284978199</v>
      </c>
      <c r="E66">
        <v>329535.24304021598</v>
      </c>
      <c r="F66">
        <v>452561.56588999799</v>
      </c>
      <c r="G66">
        <v>329650.33498034702</v>
      </c>
      <c r="H66">
        <v>66954.372570000298</v>
      </c>
      <c r="J66">
        <v>8722.0059999999994</v>
      </c>
      <c r="K66">
        <v>68986.959719295002</v>
      </c>
      <c r="M66">
        <v>8722.0059999999994</v>
      </c>
      <c r="N66">
        <v>616700.44629693194</v>
      </c>
      <c r="O66">
        <v>42178.970931504802</v>
      </c>
      <c r="P66">
        <v>658879.41722843703</v>
      </c>
      <c r="R66">
        <v>8722.0059999999994</v>
      </c>
      <c r="S66">
        <v>117885.541204979</v>
      </c>
    </row>
    <row r="67" spans="1:19" x14ac:dyDescent="0.25">
      <c r="A67">
        <v>8719.0059999999994</v>
      </c>
      <c r="B67">
        <v>2008.54377082325</v>
      </c>
      <c r="C67">
        <v>8723.0059999999994</v>
      </c>
      <c r="D67">
        <v>123030.297849782</v>
      </c>
      <c r="E67">
        <v>329595.42804021598</v>
      </c>
      <c r="F67">
        <v>452625.72588999802</v>
      </c>
      <c r="G67">
        <v>329710.51998034702</v>
      </c>
      <c r="H67">
        <v>66954.431570000306</v>
      </c>
      <c r="J67">
        <v>8723.0059999999994</v>
      </c>
      <c r="K67">
        <v>68986.998719295007</v>
      </c>
      <c r="M67">
        <v>8723.0059999999994</v>
      </c>
      <c r="N67">
        <v>616766.22129693197</v>
      </c>
      <c r="O67">
        <v>42183.806931504798</v>
      </c>
      <c r="P67">
        <v>658950.02822843695</v>
      </c>
      <c r="R67">
        <v>8723.0059999999994</v>
      </c>
      <c r="S67">
        <v>117898.115204979</v>
      </c>
    </row>
    <row r="68" spans="1:19" x14ac:dyDescent="0.25">
      <c r="A68">
        <v>8720.0059999999994</v>
      </c>
      <c r="B68">
        <v>2008.54377082325</v>
      </c>
      <c r="C68">
        <v>8724.0059999999994</v>
      </c>
      <c r="D68">
        <v>123034.52284978201</v>
      </c>
      <c r="E68">
        <v>329654.393040216</v>
      </c>
      <c r="F68">
        <v>452688.91588999802</v>
      </c>
      <c r="G68">
        <v>329769.48498034698</v>
      </c>
      <c r="H68">
        <v>66954.476570000304</v>
      </c>
      <c r="J68">
        <v>8724.0059999999994</v>
      </c>
      <c r="K68">
        <v>68987.028719295005</v>
      </c>
      <c r="M68">
        <v>8724.0059999999994</v>
      </c>
      <c r="N68">
        <v>616831.58829693205</v>
      </c>
      <c r="O68">
        <v>42188.641931504797</v>
      </c>
      <c r="P68">
        <v>659020.23022843699</v>
      </c>
      <c r="R68">
        <v>8724.0059999999994</v>
      </c>
      <c r="S68">
        <v>117910.827204979</v>
      </c>
    </row>
    <row r="69" spans="1:19" x14ac:dyDescent="0.25">
      <c r="A69">
        <v>8721.0059999999994</v>
      </c>
      <c r="B69">
        <v>2008.5527708232501</v>
      </c>
      <c r="C69">
        <v>8725.0059999999994</v>
      </c>
      <c r="D69">
        <v>123038.104849782</v>
      </c>
      <c r="E69">
        <v>329717.46104021597</v>
      </c>
      <c r="F69">
        <v>452755.56588999799</v>
      </c>
      <c r="G69">
        <v>329832.55298034701</v>
      </c>
      <c r="H69">
        <v>66954.496570000294</v>
      </c>
      <c r="J69">
        <v>8725.0059999999994</v>
      </c>
      <c r="K69">
        <v>68987.042719295001</v>
      </c>
      <c r="M69">
        <v>8725.0059999999994</v>
      </c>
      <c r="N69">
        <v>616901.69129693205</v>
      </c>
      <c r="O69">
        <v>42193.476931504803</v>
      </c>
      <c r="P69">
        <v>659095.16822843696</v>
      </c>
      <c r="R69">
        <v>8725.0059999999994</v>
      </c>
      <c r="S69">
        <v>117925.369204979</v>
      </c>
    </row>
    <row r="70" spans="1:19" x14ac:dyDescent="0.25">
      <c r="A70">
        <v>8722.0059999999994</v>
      </c>
      <c r="B70">
        <v>2008.59177082325</v>
      </c>
      <c r="C70">
        <v>8726.0059999999994</v>
      </c>
      <c r="D70">
        <v>123040.10984978201</v>
      </c>
      <c r="E70">
        <v>329778.84604021598</v>
      </c>
      <c r="F70">
        <v>452818.955889998</v>
      </c>
      <c r="G70">
        <v>329893.93798034702</v>
      </c>
      <c r="H70">
        <v>66954.496570000294</v>
      </c>
      <c r="J70">
        <v>8726.0059999999994</v>
      </c>
      <c r="K70">
        <v>68987.042719295001</v>
      </c>
      <c r="M70">
        <v>8726.0059999999994</v>
      </c>
      <c r="N70">
        <v>616970.28829693201</v>
      </c>
      <c r="O70">
        <v>42198.312931504799</v>
      </c>
      <c r="P70">
        <v>659168.60122843704</v>
      </c>
      <c r="R70">
        <v>8726.0059999999994</v>
      </c>
      <c r="S70">
        <v>117940.407204979</v>
      </c>
    </row>
    <row r="71" spans="1:19" x14ac:dyDescent="0.25">
      <c r="A71">
        <v>8723.0059999999994</v>
      </c>
      <c r="B71">
        <v>2008.6537708232499</v>
      </c>
      <c r="C71">
        <v>8727.0059999999994</v>
      </c>
      <c r="D71">
        <v>123040.395849782</v>
      </c>
      <c r="E71">
        <v>329856.05004021601</v>
      </c>
      <c r="F71">
        <v>452896.44588999799</v>
      </c>
      <c r="G71">
        <v>329971.14198034699</v>
      </c>
      <c r="H71">
        <v>66954.496570000294</v>
      </c>
      <c r="J71">
        <v>8727.0059999999994</v>
      </c>
      <c r="K71">
        <v>68987.042719295001</v>
      </c>
      <c r="M71">
        <v>8727.0059999999994</v>
      </c>
      <c r="N71">
        <v>617055.81629693205</v>
      </c>
      <c r="O71">
        <v>42203.147931504798</v>
      </c>
      <c r="P71">
        <v>659258.96522843698</v>
      </c>
      <c r="R71">
        <v>8727.0059999999994</v>
      </c>
      <c r="S71">
        <v>117962.172204979</v>
      </c>
    </row>
    <row r="72" spans="1:19" x14ac:dyDescent="0.25">
      <c r="A72">
        <v>8724.0059999999994</v>
      </c>
      <c r="B72">
        <v>2008.7207708232499</v>
      </c>
      <c r="C72">
        <v>8728.0059999999994</v>
      </c>
      <c r="D72">
        <v>123040.39784978201</v>
      </c>
      <c r="E72">
        <v>329940.75804021599</v>
      </c>
      <c r="F72">
        <v>452981.15588999802</v>
      </c>
      <c r="G72">
        <v>330055.84998034697</v>
      </c>
      <c r="H72">
        <v>66954.496570000294</v>
      </c>
      <c r="J72">
        <v>8728.0059999999994</v>
      </c>
      <c r="K72">
        <v>68987.042719295001</v>
      </c>
      <c r="M72">
        <v>8728.0059999999994</v>
      </c>
      <c r="N72">
        <v>617155.15529693197</v>
      </c>
      <c r="O72">
        <v>42207.982931504797</v>
      </c>
      <c r="P72">
        <v>659363.13822843705</v>
      </c>
      <c r="R72">
        <v>8728.0059999999994</v>
      </c>
      <c r="S72">
        <v>117987.48520497901</v>
      </c>
    </row>
    <row r="73" spans="1:19" x14ac:dyDescent="0.25">
      <c r="A73">
        <v>8725.0059999999994</v>
      </c>
      <c r="B73">
        <v>2008.77477082325</v>
      </c>
      <c r="C73">
        <v>8729.0059999999994</v>
      </c>
      <c r="D73">
        <v>123040.39784978201</v>
      </c>
      <c r="E73">
        <v>330049.54804021597</v>
      </c>
      <c r="F73">
        <v>453089.94588999799</v>
      </c>
      <c r="G73">
        <v>330164.63998034701</v>
      </c>
      <c r="H73">
        <v>66954.496570000294</v>
      </c>
      <c r="J73">
        <v>8729.0059999999994</v>
      </c>
      <c r="K73">
        <v>68987.042719295001</v>
      </c>
      <c r="M73">
        <v>8729.0059999999994</v>
      </c>
      <c r="N73">
        <v>617289.22729693202</v>
      </c>
      <c r="O73">
        <v>42212.8189315048</v>
      </c>
      <c r="P73">
        <v>659502.04522843705</v>
      </c>
      <c r="R73">
        <v>8729.0059999999994</v>
      </c>
      <c r="S73">
        <v>118021.723204979</v>
      </c>
    </row>
    <row r="74" spans="1:19" x14ac:dyDescent="0.25">
      <c r="A74">
        <v>8726.0059999999994</v>
      </c>
      <c r="B74">
        <v>2008.80577082325</v>
      </c>
      <c r="C74">
        <v>8730.0059999999994</v>
      </c>
      <c r="D74">
        <v>123040.39784978201</v>
      </c>
      <c r="E74">
        <v>330155.36804021598</v>
      </c>
      <c r="F74">
        <v>453195.765889998</v>
      </c>
      <c r="G74">
        <v>330270.45998034702</v>
      </c>
      <c r="H74">
        <v>66954.496570000294</v>
      </c>
      <c r="J74">
        <v>8730.0059999999994</v>
      </c>
      <c r="K74">
        <v>68987.042719295001</v>
      </c>
      <c r="M74">
        <v>8730.0059999999994</v>
      </c>
      <c r="N74">
        <v>617416.79629693204</v>
      </c>
      <c r="O74">
        <v>42217.653931504799</v>
      </c>
      <c r="P74">
        <v>659634.45122843701</v>
      </c>
      <c r="R74">
        <v>8730.0059999999994</v>
      </c>
      <c r="S74">
        <v>118053.543204979</v>
      </c>
    </row>
    <row r="75" spans="1:19" x14ac:dyDescent="0.25">
      <c r="A75">
        <v>8727.0059999999994</v>
      </c>
      <c r="B75">
        <v>2008.8097708232499</v>
      </c>
      <c r="C75">
        <v>8731.0059999999994</v>
      </c>
      <c r="D75">
        <v>123040.39784978201</v>
      </c>
      <c r="E75">
        <v>330244.17804021598</v>
      </c>
      <c r="F75">
        <v>453284.575889998</v>
      </c>
      <c r="G75">
        <v>330359.26998034702</v>
      </c>
      <c r="H75">
        <v>66954.496570000294</v>
      </c>
      <c r="J75">
        <v>8731.0059999999994</v>
      </c>
      <c r="K75">
        <v>68987.042719295001</v>
      </c>
      <c r="M75">
        <v>8731.0059999999994</v>
      </c>
      <c r="N75">
        <v>617522.46929693199</v>
      </c>
      <c r="O75">
        <v>42222.489931504802</v>
      </c>
      <c r="P75">
        <v>659744.958228437</v>
      </c>
      <c r="R75">
        <v>8731.0059999999994</v>
      </c>
      <c r="S75">
        <v>118078.73220497899</v>
      </c>
    </row>
    <row r="76" spans="1:19" x14ac:dyDescent="0.25">
      <c r="A76">
        <v>8728.0059999999994</v>
      </c>
      <c r="B76">
        <v>2008.8097708232499</v>
      </c>
      <c r="C76">
        <v>8732.0059999999994</v>
      </c>
      <c r="D76">
        <v>123040.39784978201</v>
      </c>
      <c r="E76">
        <v>330333.77804021601</v>
      </c>
      <c r="F76">
        <v>453374.17588999798</v>
      </c>
      <c r="G76">
        <v>330448.86998034699</v>
      </c>
      <c r="H76">
        <v>66954.496570000294</v>
      </c>
      <c r="J76">
        <v>8732.0059999999994</v>
      </c>
      <c r="K76">
        <v>68987.042719295001</v>
      </c>
      <c r="M76">
        <v>8732.0059999999994</v>
      </c>
      <c r="N76">
        <v>617628.881296932</v>
      </c>
      <c r="O76">
        <v>42227.324931504801</v>
      </c>
      <c r="P76">
        <v>659856.20622843702</v>
      </c>
      <c r="R76">
        <v>8732.0059999999994</v>
      </c>
      <c r="S76">
        <v>118099.582204979</v>
      </c>
    </row>
    <row r="77" spans="1:19" x14ac:dyDescent="0.25">
      <c r="A77">
        <v>8729.0059999999994</v>
      </c>
      <c r="B77">
        <v>2008.8097708232499</v>
      </c>
      <c r="C77">
        <v>8733.0059999999994</v>
      </c>
      <c r="D77">
        <v>123040.39784978201</v>
      </c>
      <c r="E77">
        <v>330417.58804021601</v>
      </c>
      <c r="F77">
        <v>453457.98588999797</v>
      </c>
      <c r="G77">
        <v>330532.67998034699</v>
      </c>
      <c r="H77">
        <v>66954.496570000294</v>
      </c>
      <c r="J77">
        <v>8733.0059999999994</v>
      </c>
      <c r="K77">
        <v>68987.042719295001</v>
      </c>
      <c r="M77">
        <v>8733.0059999999994</v>
      </c>
      <c r="N77">
        <v>617728.729296932</v>
      </c>
      <c r="O77">
        <v>42232.159931504801</v>
      </c>
      <c r="P77">
        <v>659960.88922843698</v>
      </c>
      <c r="R77">
        <v>8733.0059999999994</v>
      </c>
      <c r="S77">
        <v>118119.298204979</v>
      </c>
    </row>
    <row r="78" spans="1:19" x14ac:dyDescent="0.25">
      <c r="A78">
        <v>8730.0059999999994</v>
      </c>
      <c r="B78">
        <v>2008.8097708232499</v>
      </c>
      <c r="C78">
        <v>8734.0059999999994</v>
      </c>
      <c r="D78">
        <v>123040.39784978201</v>
      </c>
      <c r="E78">
        <v>330488.59804021602</v>
      </c>
      <c r="F78">
        <v>453528.99588999798</v>
      </c>
      <c r="G78">
        <v>330603.689980347</v>
      </c>
      <c r="H78">
        <v>66954.496570000294</v>
      </c>
      <c r="J78">
        <v>8734.0059999999994</v>
      </c>
      <c r="K78">
        <v>68987.042719295001</v>
      </c>
      <c r="M78">
        <v>8734.0059999999994</v>
      </c>
      <c r="N78">
        <v>617807.55329693202</v>
      </c>
      <c r="O78">
        <v>42236.995931504804</v>
      </c>
      <c r="P78">
        <v>660044.54922843701</v>
      </c>
      <c r="R78">
        <v>8734.0059999999994</v>
      </c>
      <c r="S78">
        <v>118133.93620497901</v>
      </c>
    </row>
    <row r="79" spans="1:19" x14ac:dyDescent="0.25">
      <c r="A79">
        <v>8731.0059999999994</v>
      </c>
      <c r="B79">
        <v>2008.8097708232499</v>
      </c>
      <c r="C79">
        <v>8735.0059999999994</v>
      </c>
      <c r="D79">
        <v>123040.39784978201</v>
      </c>
      <c r="E79">
        <v>330547.24804021599</v>
      </c>
      <c r="F79">
        <v>453587.64588999801</v>
      </c>
      <c r="G79">
        <v>330662.33998034702</v>
      </c>
      <c r="H79">
        <v>66954.496570000294</v>
      </c>
      <c r="J79">
        <v>8735.0059999999994</v>
      </c>
      <c r="K79">
        <v>68987.042719295001</v>
      </c>
      <c r="M79">
        <v>8735.0059999999994</v>
      </c>
      <c r="N79">
        <v>617870.99529693194</v>
      </c>
      <c r="O79">
        <v>42241.830931504803</v>
      </c>
      <c r="P79">
        <v>660112.82622843701</v>
      </c>
      <c r="R79">
        <v>8735.0059999999994</v>
      </c>
      <c r="S79">
        <v>118146.066204979</v>
      </c>
    </row>
    <row r="80" spans="1:19" x14ac:dyDescent="0.25">
      <c r="A80">
        <v>8732.0059999999994</v>
      </c>
      <c r="B80">
        <v>2008.8097708232499</v>
      </c>
      <c r="C80">
        <v>8736.0059999999994</v>
      </c>
      <c r="D80">
        <v>123040.39784978201</v>
      </c>
      <c r="E80">
        <v>330591.97804021602</v>
      </c>
      <c r="F80">
        <v>453632.37588999799</v>
      </c>
      <c r="G80">
        <v>330707.06998034701</v>
      </c>
      <c r="H80">
        <v>66954.496570000294</v>
      </c>
      <c r="J80">
        <v>8736.0059999999994</v>
      </c>
      <c r="K80">
        <v>68987.042719295001</v>
      </c>
      <c r="M80">
        <v>8736.0059999999994</v>
      </c>
      <c r="N80">
        <v>617921.18129693205</v>
      </c>
      <c r="O80">
        <v>42246.665931504802</v>
      </c>
      <c r="P80">
        <v>660167.84822843701</v>
      </c>
      <c r="R80">
        <v>8736.0059999999994</v>
      </c>
      <c r="S80">
        <v>118154.623204979</v>
      </c>
    </row>
    <row r="81" spans="1:19" x14ac:dyDescent="0.25">
      <c r="A81">
        <v>8733.0059999999994</v>
      </c>
      <c r="B81">
        <v>2008.8097708232499</v>
      </c>
      <c r="C81">
        <v>8737.0059999999994</v>
      </c>
      <c r="D81">
        <v>123040.39784978201</v>
      </c>
      <c r="E81">
        <v>330628.518040216</v>
      </c>
      <c r="F81">
        <v>453668.91588999802</v>
      </c>
      <c r="G81">
        <v>330743.60998034698</v>
      </c>
      <c r="H81">
        <v>66954.496570000294</v>
      </c>
      <c r="J81">
        <v>8737.0059999999994</v>
      </c>
      <c r="K81">
        <v>68987.042719295001</v>
      </c>
      <c r="M81">
        <v>8737.0059999999994</v>
      </c>
      <c r="N81">
        <v>617960.37929693202</v>
      </c>
      <c r="O81">
        <v>42251.501931504798</v>
      </c>
      <c r="P81">
        <v>660211.88122843695</v>
      </c>
      <c r="R81">
        <v>8737.0059999999994</v>
      </c>
      <c r="S81">
        <v>118161.359204979</v>
      </c>
    </row>
    <row r="82" spans="1:19" x14ac:dyDescent="0.25">
      <c r="A82">
        <v>8734.0059999999994</v>
      </c>
      <c r="B82">
        <v>2008.8097708232499</v>
      </c>
      <c r="C82">
        <v>8738.0059999999994</v>
      </c>
      <c r="D82">
        <v>123040.39784978201</v>
      </c>
      <c r="E82">
        <v>330662.05804021598</v>
      </c>
      <c r="F82">
        <v>453702.455889998</v>
      </c>
      <c r="G82">
        <v>330777.14998034702</v>
      </c>
      <c r="H82">
        <v>66954.496570000294</v>
      </c>
      <c r="J82">
        <v>8738.0059999999994</v>
      </c>
      <c r="K82">
        <v>68987.042719295001</v>
      </c>
      <c r="M82">
        <v>8738.0059999999994</v>
      </c>
      <c r="N82">
        <v>617995.45929693198</v>
      </c>
      <c r="O82">
        <v>42256.336931504797</v>
      </c>
      <c r="P82">
        <v>660251.79622843699</v>
      </c>
      <c r="R82">
        <v>8738.0059999999994</v>
      </c>
      <c r="S82">
        <v>118167.600204979</v>
      </c>
    </row>
    <row r="83" spans="1:19" x14ac:dyDescent="0.25">
      <c r="A83">
        <v>8735.0059999999994</v>
      </c>
      <c r="B83">
        <v>2008.8097708232499</v>
      </c>
      <c r="C83">
        <v>8739.0059999999994</v>
      </c>
      <c r="D83">
        <v>123040.39784978201</v>
      </c>
      <c r="E83">
        <v>330691.578040216</v>
      </c>
      <c r="F83">
        <v>453731.97588999802</v>
      </c>
      <c r="G83">
        <v>330806.66998034698</v>
      </c>
      <c r="H83">
        <v>66954.496570000294</v>
      </c>
      <c r="J83">
        <v>8739.0059999999994</v>
      </c>
      <c r="K83">
        <v>68987.042719295001</v>
      </c>
      <c r="M83">
        <v>8739.0059999999994</v>
      </c>
      <c r="N83">
        <v>618026.33329693205</v>
      </c>
      <c r="O83">
        <v>42261.1729315048</v>
      </c>
      <c r="P83">
        <v>660287.50622843695</v>
      </c>
      <c r="R83">
        <v>8739.0059999999994</v>
      </c>
      <c r="S83">
        <v>118173.071204979</v>
      </c>
    </row>
    <row r="84" spans="1:19" x14ac:dyDescent="0.25">
      <c r="A84">
        <v>8736.0059999999994</v>
      </c>
      <c r="B84">
        <v>2008.8097708232499</v>
      </c>
      <c r="C84">
        <v>8740.0059999999994</v>
      </c>
      <c r="D84">
        <v>123040.39784978201</v>
      </c>
      <c r="E84">
        <v>330720.53804021602</v>
      </c>
      <c r="F84">
        <v>453760.93588999799</v>
      </c>
      <c r="G84">
        <v>330835.629980347</v>
      </c>
      <c r="H84">
        <v>66954.496570000294</v>
      </c>
      <c r="J84">
        <v>8740.0059999999994</v>
      </c>
      <c r="K84">
        <v>68987.042719295001</v>
      </c>
      <c r="M84">
        <v>8740.0059999999994</v>
      </c>
      <c r="N84">
        <v>618058.13529693196</v>
      </c>
      <c r="O84">
        <v>42266.007931504799</v>
      </c>
      <c r="P84">
        <v>660324.14322843705</v>
      </c>
      <c r="R84">
        <v>8740.0059999999994</v>
      </c>
      <c r="S84">
        <v>118178.351204979</v>
      </c>
    </row>
    <row r="85" spans="1:19" x14ac:dyDescent="0.25">
      <c r="A85">
        <v>8737.0059999999994</v>
      </c>
      <c r="B85">
        <v>2008.8097708232499</v>
      </c>
      <c r="C85">
        <v>8741.0059999999994</v>
      </c>
      <c r="D85">
        <v>123040.39784978201</v>
      </c>
      <c r="E85">
        <v>330751.43804021599</v>
      </c>
      <c r="F85">
        <v>453791.83588999801</v>
      </c>
      <c r="G85">
        <v>330866.52998034703</v>
      </c>
      <c r="H85">
        <v>66954.496570000294</v>
      </c>
      <c r="J85">
        <v>8741.0059999999994</v>
      </c>
      <c r="K85">
        <v>68987.042719295001</v>
      </c>
      <c r="M85">
        <v>8741.0059999999994</v>
      </c>
      <c r="N85">
        <v>618092.55029693199</v>
      </c>
      <c r="O85">
        <v>42270.842931504798</v>
      </c>
      <c r="P85">
        <v>660363.39422843698</v>
      </c>
      <c r="R85">
        <v>8741.0059999999994</v>
      </c>
      <c r="S85">
        <v>118183.994204979</v>
      </c>
    </row>
    <row r="86" spans="1:19" x14ac:dyDescent="0.25">
      <c r="A86">
        <v>8738.0059999999994</v>
      </c>
      <c r="B86">
        <v>2008.8097708232499</v>
      </c>
      <c r="C86">
        <v>8742.0059999999994</v>
      </c>
      <c r="D86">
        <v>123040.39784978201</v>
      </c>
      <c r="E86">
        <v>330788.34804021602</v>
      </c>
      <c r="F86">
        <v>453828.74588999798</v>
      </c>
      <c r="G86">
        <v>330903.439980347</v>
      </c>
      <c r="H86">
        <v>66954.496570000294</v>
      </c>
      <c r="J86">
        <v>8742.0059999999994</v>
      </c>
      <c r="K86">
        <v>68987.042719295001</v>
      </c>
      <c r="M86">
        <v>8742.0059999999994</v>
      </c>
      <c r="N86">
        <v>618135.09229693201</v>
      </c>
      <c r="O86">
        <v>42275.678931504801</v>
      </c>
      <c r="P86">
        <v>660410.77022843703</v>
      </c>
      <c r="R86">
        <v>8742.0059999999994</v>
      </c>
      <c r="S86">
        <v>118190.795204979</v>
      </c>
    </row>
    <row r="87" spans="1:19" x14ac:dyDescent="0.25">
      <c r="A87">
        <v>8739.0059999999994</v>
      </c>
      <c r="B87">
        <v>2008.8097708232499</v>
      </c>
      <c r="C87">
        <v>8743.0059999999994</v>
      </c>
      <c r="D87">
        <v>123040.39784978201</v>
      </c>
      <c r="E87">
        <v>330833.578040216</v>
      </c>
      <c r="F87">
        <v>453873.97588999802</v>
      </c>
      <c r="G87">
        <v>330948.66998034698</v>
      </c>
      <c r="H87">
        <v>66954.496570000294</v>
      </c>
      <c r="J87">
        <v>8743.0059999999994</v>
      </c>
      <c r="K87">
        <v>68987.042719295001</v>
      </c>
      <c r="M87">
        <v>8743.0059999999994</v>
      </c>
      <c r="N87">
        <v>618189.011296932</v>
      </c>
      <c r="O87">
        <v>42280.5139315048</v>
      </c>
      <c r="P87">
        <v>660469.52522843704</v>
      </c>
      <c r="R87">
        <v>8743.0059999999994</v>
      </c>
      <c r="S87">
        <v>118199.41020497899</v>
      </c>
    </row>
    <row r="88" spans="1:19" x14ac:dyDescent="0.25">
      <c r="A88">
        <v>8740.0059999999994</v>
      </c>
      <c r="B88">
        <v>2008.8097708232499</v>
      </c>
      <c r="C88">
        <v>8744.0059999999994</v>
      </c>
      <c r="D88">
        <v>123040.39784978201</v>
      </c>
      <c r="E88">
        <v>330889.90804021602</v>
      </c>
      <c r="F88">
        <v>453930.30588999798</v>
      </c>
      <c r="G88">
        <v>331004.999980347</v>
      </c>
      <c r="H88">
        <v>66954.496570000294</v>
      </c>
      <c r="J88">
        <v>8744.0059999999994</v>
      </c>
      <c r="K88">
        <v>68987.042719295001</v>
      </c>
      <c r="M88">
        <v>8744.0059999999994</v>
      </c>
      <c r="N88">
        <v>618258.22129693197</v>
      </c>
      <c r="O88">
        <v>42285.348931504799</v>
      </c>
      <c r="P88">
        <v>660543.57122843701</v>
      </c>
      <c r="R88">
        <v>8744.0059999999994</v>
      </c>
      <c r="S88">
        <v>118211.842204979</v>
      </c>
    </row>
    <row r="89" spans="1:19" x14ac:dyDescent="0.25">
      <c r="A89">
        <v>8741.0059999999994</v>
      </c>
      <c r="B89">
        <v>2008.8097708232499</v>
      </c>
      <c r="C89">
        <v>8745.0059999999994</v>
      </c>
      <c r="D89">
        <v>123040.39784978201</v>
      </c>
      <c r="E89">
        <v>330949.21804021602</v>
      </c>
      <c r="F89">
        <v>453989.61588999798</v>
      </c>
      <c r="G89">
        <v>331064.309980347</v>
      </c>
      <c r="H89">
        <v>66954.496570000294</v>
      </c>
      <c r="J89">
        <v>8745.0059999999994</v>
      </c>
      <c r="K89">
        <v>68987.042719295001</v>
      </c>
      <c r="M89">
        <v>8745.0059999999994</v>
      </c>
      <c r="N89">
        <v>618331.22629693197</v>
      </c>
      <c r="O89">
        <v>42290.184931504802</v>
      </c>
      <c r="P89">
        <v>660621.41122843698</v>
      </c>
      <c r="R89">
        <v>8745.0059999999994</v>
      </c>
      <c r="S89">
        <v>118225.18220497901</v>
      </c>
    </row>
    <row r="90" spans="1:19" x14ac:dyDescent="0.25">
      <c r="A90">
        <v>8742.0059999999994</v>
      </c>
      <c r="B90">
        <v>2008.8097708232499</v>
      </c>
      <c r="C90">
        <v>8746.0059999999994</v>
      </c>
      <c r="D90">
        <v>123040.39784978201</v>
      </c>
      <c r="E90">
        <v>331008.03804021602</v>
      </c>
      <c r="F90">
        <v>454048.43588999799</v>
      </c>
      <c r="G90">
        <v>331123.129980347</v>
      </c>
      <c r="H90">
        <v>66954.496570000294</v>
      </c>
      <c r="J90">
        <v>8746.0059999999994</v>
      </c>
      <c r="K90">
        <v>68987.042719295001</v>
      </c>
      <c r="M90">
        <v>8746.0059999999994</v>
      </c>
      <c r="N90">
        <v>618404.15429693204</v>
      </c>
      <c r="O90">
        <v>42295.019931504801</v>
      </c>
      <c r="P90">
        <v>660699.17422843701</v>
      </c>
      <c r="R90">
        <v>8746.0059999999994</v>
      </c>
      <c r="S90">
        <v>118238.15920497901</v>
      </c>
    </row>
    <row r="91" spans="1:19" x14ac:dyDescent="0.25">
      <c r="A91">
        <v>8743.0059999999994</v>
      </c>
      <c r="B91">
        <v>2008.8097708232499</v>
      </c>
      <c r="C91">
        <v>8747.0059999999994</v>
      </c>
      <c r="D91">
        <v>123040.39784978201</v>
      </c>
      <c r="E91">
        <v>331071.31804021599</v>
      </c>
      <c r="F91">
        <v>454111.71588999801</v>
      </c>
      <c r="G91">
        <v>331186.40998034697</v>
      </c>
      <c r="H91">
        <v>66954.496570000294</v>
      </c>
      <c r="J91">
        <v>8747.0059999999994</v>
      </c>
      <c r="K91">
        <v>68987.042719295001</v>
      </c>
      <c r="M91">
        <v>8747.0059999999994</v>
      </c>
      <c r="N91">
        <v>618482.09329693206</v>
      </c>
      <c r="O91">
        <v>42299.855931504797</v>
      </c>
      <c r="P91">
        <v>660781.94822843699</v>
      </c>
      <c r="R91">
        <v>8747.0059999999994</v>
      </c>
      <c r="S91">
        <v>118252.16720497901</v>
      </c>
    </row>
    <row r="92" spans="1:19" x14ac:dyDescent="0.25">
      <c r="A92">
        <v>8744.0059999999994</v>
      </c>
      <c r="B92">
        <v>2008.8097708232499</v>
      </c>
      <c r="C92">
        <v>8748.0059999999994</v>
      </c>
      <c r="D92">
        <v>123046.214849782</v>
      </c>
      <c r="E92">
        <v>331133.76104021602</v>
      </c>
      <c r="F92">
        <v>454179.97588999802</v>
      </c>
      <c r="G92">
        <v>331248.852980347</v>
      </c>
      <c r="H92">
        <v>66954.857570000298</v>
      </c>
      <c r="J92">
        <v>8748.0059999999994</v>
      </c>
      <c r="K92">
        <v>68987.304719295003</v>
      </c>
      <c r="M92">
        <v>8748.0059999999994</v>
      </c>
      <c r="N92">
        <v>618558.25429693202</v>
      </c>
      <c r="O92">
        <v>42304.690931504803</v>
      </c>
      <c r="P92">
        <v>660862.94522843696</v>
      </c>
      <c r="R92">
        <v>8748.0059999999994</v>
      </c>
      <c r="S92">
        <v>118265.817204979</v>
      </c>
    </row>
    <row r="93" spans="1:19" x14ac:dyDescent="0.25">
      <c r="A93">
        <v>8745.0059999999994</v>
      </c>
      <c r="B93">
        <v>2008.8097708232499</v>
      </c>
      <c r="C93">
        <v>8749.0059999999994</v>
      </c>
      <c r="D93">
        <v>123049.167849782</v>
      </c>
      <c r="E93">
        <v>331198.77804021601</v>
      </c>
      <c r="F93">
        <v>454247.94588999799</v>
      </c>
      <c r="G93">
        <v>331313.86998034699</v>
      </c>
      <c r="H93">
        <v>66954.857570000298</v>
      </c>
      <c r="J93">
        <v>8749.0059999999994</v>
      </c>
      <c r="K93">
        <v>68987.304719295003</v>
      </c>
      <c r="M93">
        <v>8749.0059999999994</v>
      </c>
      <c r="N93">
        <v>618637.11929693201</v>
      </c>
      <c r="O93">
        <v>42309.525931504802</v>
      </c>
      <c r="P93">
        <v>660946.64622843696</v>
      </c>
      <c r="R93">
        <v>8749.0059999999994</v>
      </c>
      <c r="S93">
        <v>118279.597204979</v>
      </c>
    </row>
    <row r="94" spans="1:19" x14ac:dyDescent="0.25">
      <c r="A94">
        <v>8746.0059999999994</v>
      </c>
      <c r="B94">
        <v>2008.8097708232499</v>
      </c>
      <c r="C94">
        <v>8750.0059999999994</v>
      </c>
      <c r="D94">
        <v>123053.546849782</v>
      </c>
      <c r="E94">
        <v>331264.84904021601</v>
      </c>
      <c r="F94">
        <v>454318.39588999801</v>
      </c>
      <c r="G94">
        <v>331379.94098034699</v>
      </c>
      <c r="H94">
        <v>66954.904570000304</v>
      </c>
      <c r="J94">
        <v>8750.0059999999994</v>
      </c>
      <c r="K94">
        <v>68987.340719294996</v>
      </c>
      <c r="M94">
        <v>8750.0059999999994</v>
      </c>
      <c r="N94">
        <v>618717.16529693198</v>
      </c>
      <c r="O94">
        <v>42314.361931504798</v>
      </c>
      <c r="P94">
        <v>661031.52722843701</v>
      </c>
      <c r="R94">
        <v>8750.0059999999994</v>
      </c>
      <c r="S94">
        <v>118293.536204979</v>
      </c>
    </row>
    <row r="95" spans="1:19" x14ac:dyDescent="0.25">
      <c r="A95">
        <v>8747.0059999999994</v>
      </c>
      <c r="B95">
        <v>2008.8097708232499</v>
      </c>
      <c r="C95">
        <v>8751.0059999999994</v>
      </c>
      <c r="D95">
        <v>123057.516849782</v>
      </c>
      <c r="E95">
        <v>331335.529040216</v>
      </c>
      <c r="F95">
        <v>454393.04588999797</v>
      </c>
      <c r="G95">
        <v>331450.62098034698</v>
      </c>
      <c r="H95">
        <v>66954.959570000297</v>
      </c>
      <c r="J95">
        <v>8751.0059999999994</v>
      </c>
      <c r="K95">
        <v>68987.381719294994</v>
      </c>
      <c r="M95">
        <v>8751.0059999999994</v>
      </c>
      <c r="N95">
        <v>618803.90229693195</v>
      </c>
      <c r="O95">
        <v>42319.196931504797</v>
      </c>
      <c r="P95">
        <v>661123.09922843694</v>
      </c>
      <c r="R95">
        <v>8751.0059999999994</v>
      </c>
      <c r="S95">
        <v>118307.362204979</v>
      </c>
    </row>
    <row r="96" spans="1:19" x14ac:dyDescent="0.25">
      <c r="A96">
        <v>8748.0059999999994</v>
      </c>
      <c r="B96">
        <v>2008.8947708232499</v>
      </c>
      <c r="C96">
        <v>8752.0059999999994</v>
      </c>
      <c r="D96">
        <v>123061.485849782</v>
      </c>
      <c r="E96">
        <v>331420.53004021599</v>
      </c>
      <c r="F96">
        <v>454482.015889998</v>
      </c>
      <c r="G96">
        <v>331535.62198034697</v>
      </c>
      <c r="H96">
        <v>66954.959570000297</v>
      </c>
      <c r="J96">
        <v>8752.0059999999994</v>
      </c>
      <c r="K96">
        <v>68987.381719294994</v>
      </c>
      <c r="M96">
        <v>8752.0059999999994</v>
      </c>
      <c r="N96">
        <v>618909.98729693203</v>
      </c>
      <c r="O96">
        <v>42324.031931504796</v>
      </c>
      <c r="P96">
        <v>661234.02022843703</v>
      </c>
      <c r="R96">
        <v>8752.0059999999994</v>
      </c>
      <c r="S96">
        <v>118323.986204979</v>
      </c>
    </row>
    <row r="97" spans="1:19" x14ac:dyDescent="0.25">
      <c r="A97">
        <v>8749.0059999999994</v>
      </c>
      <c r="B97">
        <v>2008.93877082325</v>
      </c>
      <c r="C97">
        <v>8753.0059999999994</v>
      </c>
      <c r="D97">
        <v>123065.455849782</v>
      </c>
      <c r="E97">
        <v>331526.13004021603</v>
      </c>
      <c r="F97">
        <v>454591.58588999801</v>
      </c>
      <c r="G97">
        <v>331641.22198034701</v>
      </c>
      <c r="H97">
        <v>66954.981570000295</v>
      </c>
      <c r="J97">
        <v>8753.0059999999994</v>
      </c>
      <c r="K97">
        <v>68987.398719295001</v>
      </c>
      <c r="M97">
        <v>8753.0059999999994</v>
      </c>
      <c r="N97">
        <v>619041.94029693201</v>
      </c>
      <c r="O97">
        <v>42328.867931504799</v>
      </c>
      <c r="P97">
        <v>661370.80822843697</v>
      </c>
      <c r="R97">
        <v>8753.0059999999994</v>
      </c>
      <c r="S97">
        <v>118345.176204979</v>
      </c>
    </row>
    <row r="98" spans="1:19" x14ac:dyDescent="0.25">
      <c r="A98">
        <v>8750.0059999999994</v>
      </c>
      <c r="B98">
        <v>2009.0007708232499</v>
      </c>
      <c r="C98">
        <v>8754.0059999999994</v>
      </c>
      <c r="D98">
        <v>123069.425849782</v>
      </c>
      <c r="E98">
        <v>331630.39004021598</v>
      </c>
      <c r="F98">
        <v>454699.81588999799</v>
      </c>
      <c r="G98">
        <v>331745.48198034702</v>
      </c>
      <c r="H98">
        <v>66955.001570000299</v>
      </c>
      <c r="J98">
        <v>8754.0059999999994</v>
      </c>
      <c r="K98">
        <v>68987.413719295</v>
      </c>
      <c r="M98">
        <v>8754.0059999999994</v>
      </c>
      <c r="N98">
        <v>619169.96329693205</v>
      </c>
      <c r="O98">
        <v>42333.702931504798</v>
      </c>
      <c r="P98">
        <v>661503.66622843698</v>
      </c>
      <c r="R98">
        <v>8754.0059999999994</v>
      </c>
      <c r="S98">
        <v>118365.328204979</v>
      </c>
    </row>
    <row r="99" spans="1:19" x14ac:dyDescent="0.25">
      <c r="A99">
        <v>8751.0059999999994</v>
      </c>
      <c r="B99">
        <v>2009.05377082325</v>
      </c>
      <c r="C99">
        <v>8755.0059999999994</v>
      </c>
      <c r="D99">
        <v>123073.39484978199</v>
      </c>
      <c r="E99">
        <v>331712.04104021599</v>
      </c>
      <c r="F99">
        <v>454785.43588999799</v>
      </c>
      <c r="G99">
        <v>331827.13298034703</v>
      </c>
      <c r="H99">
        <v>66955.007570000307</v>
      </c>
      <c r="J99">
        <v>8755.0059999999994</v>
      </c>
      <c r="K99">
        <v>68987.417719295001</v>
      </c>
      <c r="M99">
        <v>8755.0059999999994</v>
      </c>
      <c r="N99">
        <v>619267.66529693198</v>
      </c>
      <c r="O99">
        <v>42338.538931504801</v>
      </c>
      <c r="P99">
        <v>661606.20322843699</v>
      </c>
      <c r="R99">
        <v>8755.0059999999994</v>
      </c>
      <c r="S99">
        <v>118379.418204979</v>
      </c>
    </row>
    <row r="100" spans="1:19" x14ac:dyDescent="0.25">
      <c r="A100">
        <v>8752.0059999999994</v>
      </c>
      <c r="B100">
        <v>2009.0987708232501</v>
      </c>
      <c r="C100">
        <v>8756.0059999999994</v>
      </c>
      <c r="D100">
        <v>123077.364849782</v>
      </c>
      <c r="E100">
        <v>331799.40104021598</v>
      </c>
      <c r="F100">
        <v>454876.765889998</v>
      </c>
      <c r="G100">
        <v>331914.52298034698</v>
      </c>
      <c r="H100">
        <v>66955.007570000307</v>
      </c>
      <c r="J100">
        <v>8756.0059999999994</v>
      </c>
      <c r="K100">
        <v>68987.417719295001</v>
      </c>
      <c r="M100">
        <v>8756.0059999999994</v>
      </c>
      <c r="N100">
        <v>619369.82229693199</v>
      </c>
      <c r="O100">
        <v>42343.373931504801</v>
      </c>
      <c r="P100">
        <v>661713.19622843701</v>
      </c>
      <c r="R100">
        <v>8756.0059999999994</v>
      </c>
      <c r="S100">
        <v>118394.068204979</v>
      </c>
    </row>
    <row r="101" spans="1:19" x14ac:dyDescent="0.25">
      <c r="A101">
        <v>8753.0059999999994</v>
      </c>
      <c r="B101">
        <v>2009.1347708232499</v>
      </c>
      <c r="C101">
        <v>8757.0059999999994</v>
      </c>
      <c r="D101">
        <v>123079.97784978199</v>
      </c>
      <c r="E101">
        <v>331871.72804021602</v>
      </c>
      <c r="F101">
        <v>454951.705889998</v>
      </c>
      <c r="G101">
        <v>331986.84998034697</v>
      </c>
      <c r="H101">
        <v>66955.007570000307</v>
      </c>
      <c r="J101">
        <v>8757.0059999999994</v>
      </c>
      <c r="K101">
        <v>68987.417719295001</v>
      </c>
      <c r="M101">
        <v>8757.0059999999994</v>
      </c>
      <c r="N101">
        <v>619453.077296932</v>
      </c>
      <c r="O101">
        <v>42348.2089315048</v>
      </c>
      <c r="P101">
        <v>661801.28622843698</v>
      </c>
      <c r="R101">
        <v>8757.0059999999994</v>
      </c>
      <c r="S101">
        <v>118405.858204979</v>
      </c>
    </row>
    <row r="102" spans="1:19" x14ac:dyDescent="0.25">
      <c r="A102">
        <v>8754.0059999999994</v>
      </c>
      <c r="B102">
        <v>2009.17177082325</v>
      </c>
      <c r="C102">
        <v>8758.0059999999994</v>
      </c>
      <c r="D102">
        <v>123079.97784978199</v>
      </c>
      <c r="E102">
        <v>331940.22804021602</v>
      </c>
      <c r="F102">
        <v>455020.205889998</v>
      </c>
      <c r="G102">
        <v>332055.34998034697</v>
      </c>
      <c r="H102">
        <v>66955.007570000307</v>
      </c>
      <c r="J102">
        <v>8758.0059999999994</v>
      </c>
      <c r="K102">
        <v>68987.417719295001</v>
      </c>
      <c r="M102">
        <v>8758.0059999999994</v>
      </c>
      <c r="N102">
        <v>619529.72829693195</v>
      </c>
      <c r="O102">
        <v>42353.044931504803</v>
      </c>
      <c r="P102">
        <v>661882.77322843706</v>
      </c>
      <c r="R102">
        <v>8758.0059999999994</v>
      </c>
      <c r="S102">
        <v>118416.987204979</v>
      </c>
    </row>
    <row r="103" spans="1:19" x14ac:dyDescent="0.25">
      <c r="A103">
        <v>8755.0059999999994</v>
      </c>
      <c r="B103">
        <v>2009.21777082325</v>
      </c>
      <c r="C103">
        <v>8759.0059999999994</v>
      </c>
      <c r="D103" s="25">
        <v>123079.97784978199</v>
      </c>
      <c r="E103" s="25">
        <v>332000.00804021599</v>
      </c>
      <c r="F103" s="25">
        <v>455079.98588999797</v>
      </c>
      <c r="G103" s="25">
        <v>332115.15998034697</v>
      </c>
      <c r="H103" s="25">
        <v>66955.007570000307</v>
      </c>
      <c r="J103">
        <v>8759.0059999999994</v>
      </c>
      <c r="K103">
        <v>68987.417719295001</v>
      </c>
      <c r="M103">
        <v>8759.0059999999994</v>
      </c>
      <c r="N103" s="25">
        <v>619590.90029693197</v>
      </c>
      <c r="O103" s="25">
        <v>42357.879931504802</v>
      </c>
      <c r="P103">
        <v>661948.78022843704</v>
      </c>
      <c r="R103">
        <v>8759.0059999999994</v>
      </c>
      <c r="S103" s="25">
        <v>118426.623204979</v>
      </c>
    </row>
    <row r="104" spans="1:19" x14ac:dyDescent="0.25">
      <c r="A104">
        <v>8756.0059999999994</v>
      </c>
      <c r="B104">
        <v>2009.2607708232499</v>
      </c>
    </row>
    <row r="105" spans="1:19" x14ac:dyDescent="0.25">
      <c r="A105">
        <v>8757.0059999999994</v>
      </c>
      <c r="B105">
        <v>2009.29577082325</v>
      </c>
    </row>
    <row r="106" spans="1:19" x14ac:dyDescent="0.25">
      <c r="A106">
        <v>8758.0059999999994</v>
      </c>
      <c r="B106">
        <v>2009.29577082325</v>
      </c>
    </row>
    <row r="107" spans="1:19" x14ac:dyDescent="0.25">
      <c r="A107">
        <v>8759.0059999999994</v>
      </c>
      <c r="B107">
        <v>2009.29577082325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B72D-ED44-464E-B3EE-86D05380A112}">
  <dimension ref="A1:U105"/>
  <sheetViews>
    <sheetView workbookViewId="0">
      <selection activeCell="A2" sqref="A2"/>
    </sheetView>
  </sheetViews>
  <sheetFormatPr defaultRowHeight="15" x14ac:dyDescent="0.25"/>
  <sheetData>
    <row r="1" spans="1:21" x14ac:dyDescent="0.25">
      <c r="A1" t="s">
        <v>276</v>
      </c>
    </row>
    <row r="2" spans="1:21" x14ac:dyDescent="0.25">
      <c r="A2" s="1">
        <v>3312.3919999999998</v>
      </c>
    </row>
    <row r="4" spans="1:21" x14ac:dyDescent="0.25">
      <c r="A4">
        <f>A2/8760 *100</f>
        <v>37.812694063926941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M4" t="s">
        <v>51</v>
      </c>
      <c r="N4" t="s">
        <v>40</v>
      </c>
      <c r="O4" t="s">
        <v>41</v>
      </c>
      <c r="R4" t="s">
        <v>52</v>
      </c>
      <c r="U4" t="s">
        <v>42</v>
      </c>
    </row>
    <row r="5" spans="1:21" x14ac:dyDescent="0.25">
      <c r="C5" t="s">
        <v>275</v>
      </c>
      <c r="E5">
        <v>8660.0059999999994</v>
      </c>
      <c r="F5">
        <v>531477.87676229305</v>
      </c>
      <c r="G5">
        <v>-82648.460872291704</v>
      </c>
      <c r="H5">
        <v>448829.41588999802</v>
      </c>
      <c r="I5">
        <v>-82596.653611347705</v>
      </c>
      <c r="J5">
        <v>4526.63097881061</v>
      </c>
      <c r="L5">
        <v>8660.0059999999994</v>
      </c>
      <c r="M5">
        <v>350495.105237337</v>
      </c>
      <c r="N5">
        <v>181065.85752738599</v>
      </c>
      <c r="O5">
        <v>531560.96276472299</v>
      </c>
      <c r="Q5">
        <v>8660.0059999999994</v>
      </c>
      <c r="R5">
        <v>147805.59949447101</v>
      </c>
      <c r="T5">
        <v>8660.0059999999994</v>
      </c>
      <c r="U5">
        <v>-11884.8274333176</v>
      </c>
    </row>
    <row r="6" spans="1:21" x14ac:dyDescent="0.25">
      <c r="B6">
        <v>8660.0059999999994</v>
      </c>
      <c r="C6">
        <v>3303.2747286660901</v>
      </c>
      <c r="E6">
        <v>8661.0059999999994</v>
      </c>
      <c r="F6">
        <v>531477.87676229305</v>
      </c>
      <c r="G6">
        <v>-82568.390872291697</v>
      </c>
      <c r="H6">
        <v>448909.48588999797</v>
      </c>
      <c r="I6">
        <v>-82516.583611347698</v>
      </c>
      <c r="J6">
        <v>4526.63097881061</v>
      </c>
      <c r="L6">
        <v>8661.0059999999994</v>
      </c>
      <c r="M6">
        <v>350571.084237337</v>
      </c>
      <c r="N6">
        <v>181086.76352738601</v>
      </c>
      <c r="O6">
        <v>531657.847764723</v>
      </c>
      <c r="Q6">
        <v>8661.0059999999994</v>
      </c>
      <c r="R6">
        <v>147805.59949447101</v>
      </c>
      <c r="T6">
        <v>8661.0059999999994</v>
      </c>
      <c r="U6">
        <v>-11864.396433317601</v>
      </c>
    </row>
    <row r="7" spans="1:21" x14ac:dyDescent="0.25">
      <c r="B7">
        <v>8661.0059999999994</v>
      </c>
      <c r="C7">
        <v>3303.2747286660901</v>
      </c>
      <c r="E7">
        <v>8662.0059999999994</v>
      </c>
      <c r="F7">
        <v>531477.87676229305</v>
      </c>
      <c r="G7">
        <v>-82503.110872291698</v>
      </c>
      <c r="H7">
        <v>448974.765889998</v>
      </c>
      <c r="I7">
        <v>-82451.303611347699</v>
      </c>
      <c r="J7">
        <v>4526.63097881061</v>
      </c>
      <c r="L7">
        <v>8662.0059999999994</v>
      </c>
      <c r="M7">
        <v>350626.26023733697</v>
      </c>
      <c r="N7">
        <v>181107.669527386</v>
      </c>
      <c r="O7">
        <v>531733.92976472306</v>
      </c>
      <c r="Q7">
        <v>8662.0059999999994</v>
      </c>
      <c r="R7">
        <v>147805.59949447101</v>
      </c>
      <c r="T7">
        <v>8662.0059999999994</v>
      </c>
      <c r="U7">
        <v>-11849.0334333176</v>
      </c>
    </row>
    <row r="8" spans="1:21" x14ac:dyDescent="0.25">
      <c r="B8">
        <v>8662.0059999999994</v>
      </c>
      <c r="C8">
        <v>3303.2747286660901</v>
      </c>
      <c r="E8">
        <v>8663.0059999999994</v>
      </c>
      <c r="F8">
        <v>531477.87676229305</v>
      </c>
      <c r="G8">
        <v>-82447.150872291706</v>
      </c>
      <c r="H8">
        <v>449030.72588999802</v>
      </c>
      <c r="I8">
        <v>-82395.343611347693</v>
      </c>
      <c r="J8">
        <v>4526.63097881061</v>
      </c>
      <c r="L8">
        <v>8663.0059999999994</v>
      </c>
      <c r="M8">
        <v>350670.38623733702</v>
      </c>
      <c r="N8">
        <v>181128.57552738601</v>
      </c>
      <c r="O8">
        <v>531798.96176472295</v>
      </c>
      <c r="Q8">
        <v>8663.0059999999994</v>
      </c>
      <c r="R8">
        <v>147805.59949447101</v>
      </c>
      <c r="T8">
        <v>8663.0059999999994</v>
      </c>
      <c r="U8">
        <v>-11839.735433317601</v>
      </c>
    </row>
    <row r="9" spans="1:21" x14ac:dyDescent="0.25">
      <c r="B9">
        <v>8663.0059999999994</v>
      </c>
      <c r="C9">
        <v>3303.2747286660901</v>
      </c>
      <c r="E9">
        <v>8664.0059999999994</v>
      </c>
      <c r="F9">
        <v>531477.87676229305</v>
      </c>
      <c r="G9">
        <v>-82396.850872291703</v>
      </c>
      <c r="H9">
        <v>449081.02588999801</v>
      </c>
      <c r="I9">
        <v>-82345.043611347704</v>
      </c>
      <c r="J9">
        <v>4526.63097881061</v>
      </c>
      <c r="L9">
        <v>8664.0059999999994</v>
      </c>
      <c r="M9">
        <v>350710.16123733699</v>
      </c>
      <c r="N9">
        <v>181149.481527386</v>
      </c>
      <c r="O9">
        <v>531859.64276472304</v>
      </c>
      <c r="Q9">
        <v>8664.0059999999994</v>
      </c>
      <c r="R9">
        <v>147805.59949447101</v>
      </c>
      <c r="T9">
        <v>8664.0059999999994</v>
      </c>
      <c r="U9">
        <v>-11831.8544333176</v>
      </c>
    </row>
    <row r="10" spans="1:21" x14ac:dyDescent="0.25">
      <c r="B10">
        <v>8664.0059999999994</v>
      </c>
      <c r="C10">
        <v>3303.2747286660901</v>
      </c>
      <c r="E10">
        <v>8665.0059999999994</v>
      </c>
      <c r="F10">
        <v>531477.87676229305</v>
      </c>
      <c r="G10">
        <v>-82359.850872291703</v>
      </c>
      <c r="H10">
        <v>449118.02588999801</v>
      </c>
      <c r="I10">
        <v>-82308.043611347704</v>
      </c>
      <c r="J10">
        <v>4526.63097881061</v>
      </c>
      <c r="L10">
        <v>8665.0059999999994</v>
      </c>
      <c r="M10">
        <v>350734.03723733698</v>
      </c>
      <c r="N10">
        <v>181170.386527386</v>
      </c>
      <c r="O10">
        <v>531904.423764723</v>
      </c>
      <c r="Q10">
        <v>8665.0059999999994</v>
      </c>
      <c r="R10">
        <v>147805.59949447101</v>
      </c>
      <c r="T10">
        <v>8665.0059999999994</v>
      </c>
      <c r="U10">
        <v>-11826.663433317601</v>
      </c>
    </row>
    <row r="11" spans="1:21" x14ac:dyDescent="0.25">
      <c r="B11">
        <v>8665.0059999999994</v>
      </c>
      <c r="C11">
        <v>3303.2747286660901</v>
      </c>
      <c r="E11">
        <v>8666.0059999999994</v>
      </c>
      <c r="F11">
        <v>531477.87676229305</v>
      </c>
      <c r="G11">
        <v>-82327.740872291703</v>
      </c>
      <c r="H11">
        <v>449150.135889998</v>
      </c>
      <c r="I11">
        <v>-82275.933611347704</v>
      </c>
      <c r="J11">
        <v>4526.63097881061</v>
      </c>
      <c r="L11">
        <v>8666.0059999999994</v>
      </c>
      <c r="M11">
        <v>350751.49923733698</v>
      </c>
      <c r="N11">
        <v>181191.29252738599</v>
      </c>
      <c r="O11">
        <v>531942.79276472295</v>
      </c>
      <c r="Q11">
        <v>8666.0059999999994</v>
      </c>
      <c r="R11">
        <v>147805.59949447101</v>
      </c>
      <c r="T11">
        <v>8666.0059999999994</v>
      </c>
      <c r="U11">
        <v>-11822.924433317599</v>
      </c>
    </row>
    <row r="12" spans="1:21" x14ac:dyDescent="0.25">
      <c r="B12">
        <v>8666.0059999999994</v>
      </c>
      <c r="C12">
        <v>3303.2747286660901</v>
      </c>
      <c r="E12">
        <v>8667.0059999999994</v>
      </c>
      <c r="F12">
        <v>531477.87676229305</v>
      </c>
      <c r="G12">
        <v>-82298.020872291701</v>
      </c>
      <c r="H12">
        <v>449179.85588999803</v>
      </c>
      <c r="I12">
        <v>-82246.213611347703</v>
      </c>
      <c r="J12">
        <v>4526.63097881061</v>
      </c>
      <c r="L12">
        <v>8667.0059999999994</v>
      </c>
      <c r="M12">
        <v>350765.44523733697</v>
      </c>
      <c r="N12">
        <v>181212.198527386</v>
      </c>
      <c r="O12">
        <v>531977.64376472298</v>
      </c>
      <c r="Q12">
        <v>8667.0059999999994</v>
      </c>
      <c r="R12">
        <v>147805.59949447101</v>
      </c>
      <c r="T12">
        <v>8667.0059999999994</v>
      </c>
      <c r="U12">
        <v>-11819.8404333176</v>
      </c>
    </row>
    <row r="13" spans="1:21" x14ac:dyDescent="0.25">
      <c r="B13">
        <v>8667.0059999999994</v>
      </c>
      <c r="C13">
        <v>3303.2747286660901</v>
      </c>
      <c r="E13">
        <v>8668.0059999999994</v>
      </c>
      <c r="F13">
        <v>531477.87676229305</v>
      </c>
      <c r="G13">
        <v>-82269.140872291697</v>
      </c>
      <c r="H13">
        <v>449208.73588999797</v>
      </c>
      <c r="I13">
        <v>-82217.283611347695</v>
      </c>
      <c r="J13">
        <v>4526.63097881061</v>
      </c>
      <c r="L13">
        <v>8668.0059999999994</v>
      </c>
      <c r="M13">
        <v>350772.91223733698</v>
      </c>
      <c r="N13">
        <v>181233.10452738599</v>
      </c>
      <c r="O13">
        <v>532006.016764723</v>
      </c>
      <c r="Q13">
        <v>8668.0059999999994</v>
      </c>
      <c r="R13">
        <v>147805.59949447101</v>
      </c>
      <c r="T13">
        <v>8668.0059999999994</v>
      </c>
      <c r="U13">
        <v>-11816.8224333176</v>
      </c>
    </row>
    <row r="14" spans="1:21" x14ac:dyDescent="0.25">
      <c r="B14">
        <v>8668.0059999999994</v>
      </c>
      <c r="C14">
        <v>3303.2747286660901</v>
      </c>
      <c r="E14">
        <v>8669.0059999999994</v>
      </c>
      <c r="F14">
        <v>531477.87676229305</v>
      </c>
      <c r="G14">
        <v>-82240.020872291701</v>
      </c>
      <c r="H14">
        <v>449237.85588999803</v>
      </c>
      <c r="I14">
        <v>-82188.1636113477</v>
      </c>
      <c r="J14">
        <v>4526.63097881061</v>
      </c>
      <c r="L14">
        <v>8669.0059999999994</v>
      </c>
      <c r="M14">
        <v>350773.15123733698</v>
      </c>
      <c r="N14">
        <v>181254.01052738601</v>
      </c>
      <c r="O14">
        <v>532027.16176472302</v>
      </c>
      <c r="Q14">
        <v>8669.0059999999994</v>
      </c>
      <c r="R14">
        <v>147805.59949447101</v>
      </c>
      <c r="T14">
        <v>8669.0059999999994</v>
      </c>
      <c r="U14">
        <v>-11813.841433317601</v>
      </c>
    </row>
    <row r="15" spans="1:21" x14ac:dyDescent="0.25">
      <c r="B15">
        <v>8669.0059999999994</v>
      </c>
      <c r="C15">
        <v>3303.2747286660901</v>
      </c>
      <c r="E15">
        <v>8670.0059999999994</v>
      </c>
      <c r="F15">
        <v>531477.87676229305</v>
      </c>
      <c r="G15">
        <v>-82205.760872291707</v>
      </c>
      <c r="H15">
        <v>449272.11588999798</v>
      </c>
      <c r="I15">
        <v>-82153.903611347705</v>
      </c>
      <c r="J15">
        <v>4526.63097881061</v>
      </c>
      <c r="L15">
        <v>8670.0059999999994</v>
      </c>
      <c r="M15">
        <v>350773.25323733699</v>
      </c>
      <c r="N15">
        <v>181274.916527386</v>
      </c>
      <c r="O15">
        <v>532048.16976472305</v>
      </c>
      <c r="Q15">
        <v>8670.0059999999994</v>
      </c>
      <c r="R15">
        <v>147805.59949447101</v>
      </c>
      <c r="T15">
        <v>8670.0059999999994</v>
      </c>
      <c r="U15">
        <v>-11810.1854333176</v>
      </c>
    </row>
    <row r="16" spans="1:21" x14ac:dyDescent="0.25">
      <c r="B16">
        <v>8670.0059999999994</v>
      </c>
      <c r="C16">
        <v>3303.2747286660901</v>
      </c>
      <c r="E16">
        <v>8671.0059999999994</v>
      </c>
      <c r="F16">
        <v>531477.87676229305</v>
      </c>
      <c r="G16">
        <v>-82164.260872291707</v>
      </c>
      <c r="H16">
        <v>449313.61588999798</v>
      </c>
      <c r="I16">
        <v>-82112.403611347705</v>
      </c>
      <c r="J16">
        <v>4526.63097881061</v>
      </c>
      <c r="L16">
        <v>8671.0059999999994</v>
      </c>
      <c r="M16">
        <v>350773.59423733701</v>
      </c>
      <c r="N16">
        <v>181295.82252738599</v>
      </c>
      <c r="O16">
        <v>532069.41676472302</v>
      </c>
      <c r="Q16">
        <v>8671.0059999999994</v>
      </c>
      <c r="R16">
        <v>147805.59949447101</v>
      </c>
      <c r="T16">
        <v>8671.0059999999994</v>
      </c>
      <c r="U16">
        <v>-11805.6144333176</v>
      </c>
    </row>
    <row r="17" spans="2:21" x14ac:dyDescent="0.25">
      <c r="B17">
        <v>8671.0059999999994</v>
      </c>
      <c r="C17">
        <v>3303.2747286660901</v>
      </c>
      <c r="E17">
        <v>8672.0059999999994</v>
      </c>
      <c r="F17">
        <v>531477.87676229305</v>
      </c>
      <c r="G17">
        <v>-82109.420872291696</v>
      </c>
      <c r="H17">
        <v>449368.455889998</v>
      </c>
      <c r="I17">
        <v>-82057.563611347694</v>
      </c>
      <c r="J17">
        <v>4526.63097881061</v>
      </c>
      <c r="L17">
        <v>8672.0059999999994</v>
      </c>
      <c r="M17">
        <v>350813.68623733701</v>
      </c>
      <c r="N17">
        <v>181316.728527386</v>
      </c>
      <c r="O17">
        <v>532130.41476472304</v>
      </c>
      <c r="Q17">
        <v>8672.0059999999994</v>
      </c>
      <c r="R17">
        <v>147805.59949447101</v>
      </c>
      <c r="T17">
        <v>8672.0059999999994</v>
      </c>
      <c r="U17">
        <v>-11797.147433317599</v>
      </c>
    </row>
    <row r="18" spans="2:21" x14ac:dyDescent="0.25">
      <c r="B18">
        <v>8672.0059999999994</v>
      </c>
      <c r="C18">
        <v>3303.2747286660901</v>
      </c>
      <c r="E18">
        <v>8673.0059999999994</v>
      </c>
      <c r="F18">
        <v>531478.81476229301</v>
      </c>
      <c r="G18">
        <v>-82042.008872291699</v>
      </c>
      <c r="H18">
        <v>449436.80588999798</v>
      </c>
      <c r="I18">
        <v>-81990.151611347697</v>
      </c>
      <c r="J18">
        <v>4526.63097881061</v>
      </c>
      <c r="L18">
        <v>8673.0059999999994</v>
      </c>
      <c r="M18">
        <v>350864.127237337</v>
      </c>
      <c r="N18">
        <v>181337.633527386</v>
      </c>
      <c r="O18">
        <v>532201.76076472295</v>
      </c>
      <c r="Q18">
        <v>8673.0059999999994</v>
      </c>
      <c r="R18">
        <v>147805.59949447101</v>
      </c>
      <c r="T18">
        <v>8673.0059999999994</v>
      </c>
      <c r="U18">
        <v>-11786.0274333176</v>
      </c>
    </row>
    <row r="19" spans="2:21" x14ac:dyDescent="0.25">
      <c r="B19">
        <v>8673.0059999999994</v>
      </c>
      <c r="C19">
        <v>3303.2887286660898</v>
      </c>
      <c r="E19">
        <v>8674.0059999999994</v>
      </c>
      <c r="F19">
        <v>531489.06676229299</v>
      </c>
      <c r="G19">
        <v>-81973.790872291705</v>
      </c>
      <c r="H19">
        <v>449515.27588999801</v>
      </c>
      <c r="I19">
        <v>-81921.933611347704</v>
      </c>
      <c r="J19">
        <v>4526.6659788106099</v>
      </c>
      <c r="L19">
        <v>8674.0059999999994</v>
      </c>
      <c r="M19">
        <v>350914.203237337</v>
      </c>
      <c r="N19">
        <v>181358.53952738599</v>
      </c>
      <c r="O19">
        <v>532272.74376472295</v>
      </c>
      <c r="Q19">
        <v>8674.0059999999994</v>
      </c>
      <c r="R19">
        <v>147805.627494471</v>
      </c>
      <c r="T19">
        <v>8674.0059999999994</v>
      </c>
      <c r="U19">
        <v>-11774.022433317599</v>
      </c>
    </row>
    <row r="20" spans="2:21" x14ac:dyDescent="0.25">
      <c r="B20">
        <v>8674.0059999999994</v>
      </c>
      <c r="C20">
        <v>3303.4187286660899</v>
      </c>
      <c r="E20">
        <v>8675.0059999999994</v>
      </c>
      <c r="F20">
        <v>531513.04176229297</v>
      </c>
      <c r="G20">
        <v>-81918.935872291695</v>
      </c>
      <c r="H20">
        <v>449594.10588999803</v>
      </c>
      <c r="I20">
        <v>-81867.078611347693</v>
      </c>
      <c r="J20">
        <v>4526.6869788106096</v>
      </c>
      <c r="L20">
        <v>8675.0059999999994</v>
      </c>
      <c r="M20">
        <v>350958.35823733697</v>
      </c>
      <c r="N20">
        <v>181379.44552738601</v>
      </c>
      <c r="O20">
        <v>532337.80376472301</v>
      </c>
      <c r="Q20">
        <v>8675.0059999999994</v>
      </c>
      <c r="R20">
        <v>147805.90949447101</v>
      </c>
      <c r="T20">
        <v>8675.0059999999994</v>
      </c>
      <c r="U20">
        <v>-11763.6944333176</v>
      </c>
    </row>
    <row r="21" spans="2:21" x14ac:dyDescent="0.25">
      <c r="B21">
        <v>8675.0059999999994</v>
      </c>
      <c r="C21">
        <v>3303.7237286660902</v>
      </c>
      <c r="E21">
        <v>8676.0059999999994</v>
      </c>
      <c r="F21">
        <v>531542.06076229305</v>
      </c>
      <c r="G21">
        <v>-81875.054872291701</v>
      </c>
      <c r="H21">
        <v>449667.00588999799</v>
      </c>
      <c r="I21">
        <v>-81823.197611347699</v>
      </c>
      <c r="J21">
        <v>4526.8989788106101</v>
      </c>
      <c r="L21">
        <v>8676.0059999999994</v>
      </c>
      <c r="M21">
        <v>350992.46823733702</v>
      </c>
      <c r="N21">
        <v>181400.351527386</v>
      </c>
      <c r="O21">
        <v>532392.81976472295</v>
      </c>
      <c r="Q21">
        <v>8676.0059999999994</v>
      </c>
      <c r="R21">
        <v>147806.47949447099</v>
      </c>
      <c r="T21">
        <v>8676.0059999999994</v>
      </c>
      <c r="U21">
        <v>-11754.645433317601</v>
      </c>
    </row>
    <row r="22" spans="2:21" x14ac:dyDescent="0.25">
      <c r="B22">
        <v>8676.0059999999994</v>
      </c>
      <c r="C22">
        <v>3304.1217286660899</v>
      </c>
      <c r="E22">
        <v>8677.0059999999994</v>
      </c>
      <c r="F22">
        <v>531571.27676229295</v>
      </c>
      <c r="G22">
        <v>-81829.820872291704</v>
      </c>
      <c r="H22">
        <v>449741.455889998</v>
      </c>
      <c r="I22">
        <v>-81777.963611347703</v>
      </c>
      <c r="J22">
        <v>4527.1499788106103</v>
      </c>
      <c r="L22">
        <v>8677.0059999999994</v>
      </c>
      <c r="M22">
        <v>351026.82023733697</v>
      </c>
      <c r="N22">
        <v>181421.25752738601</v>
      </c>
      <c r="O22">
        <v>532448.07776472298</v>
      </c>
      <c r="Q22">
        <v>8677.0059999999994</v>
      </c>
      <c r="R22">
        <v>147807.002494471</v>
      </c>
      <c r="T22">
        <v>8677.0059999999994</v>
      </c>
      <c r="U22">
        <v>-11745.7384333176</v>
      </c>
    </row>
    <row r="23" spans="2:21" x14ac:dyDescent="0.25">
      <c r="B23">
        <v>8677.0059999999994</v>
      </c>
      <c r="C23">
        <v>3304.5137286660902</v>
      </c>
      <c r="E23">
        <v>8678.0059999999994</v>
      </c>
      <c r="F23">
        <v>531591.24476229295</v>
      </c>
      <c r="G23">
        <v>-81779.938872291707</v>
      </c>
      <c r="H23">
        <v>449811.30588999798</v>
      </c>
      <c r="I23">
        <v>-81728.081611347705</v>
      </c>
      <c r="J23">
        <v>4527.1769788106103</v>
      </c>
      <c r="L23">
        <v>8678.0059999999994</v>
      </c>
      <c r="M23">
        <v>351068.53423733701</v>
      </c>
      <c r="N23">
        <v>181442.163527386</v>
      </c>
      <c r="O23">
        <v>532510.69776472298</v>
      </c>
      <c r="Q23">
        <v>8678.0059999999994</v>
      </c>
      <c r="R23">
        <v>147807.13149447099</v>
      </c>
      <c r="T23">
        <v>8678.0059999999994</v>
      </c>
      <c r="U23">
        <v>-11736.388433317599</v>
      </c>
    </row>
    <row r="24" spans="2:21" x14ac:dyDescent="0.25">
      <c r="B24">
        <v>8678.0059999999994</v>
      </c>
      <c r="C24">
        <v>3304.7997286660898</v>
      </c>
      <c r="E24">
        <v>8679.0059999999994</v>
      </c>
      <c r="F24">
        <v>531595.76976229297</v>
      </c>
      <c r="G24">
        <v>-81706.903872291703</v>
      </c>
      <c r="H24">
        <v>449888.86588999798</v>
      </c>
      <c r="I24">
        <v>-81655.046611347701</v>
      </c>
      <c r="J24">
        <v>4527.1779788106096</v>
      </c>
      <c r="L24">
        <v>8679.0059999999994</v>
      </c>
      <c r="M24">
        <v>351135.71323733701</v>
      </c>
      <c r="N24">
        <v>181463.06952738599</v>
      </c>
      <c r="O24">
        <v>532598.78276472294</v>
      </c>
      <c r="Q24">
        <v>8679.0059999999994</v>
      </c>
      <c r="R24">
        <v>147807.13149447099</v>
      </c>
      <c r="T24">
        <v>8679.0059999999994</v>
      </c>
      <c r="U24">
        <v>-11724.296433317601</v>
      </c>
    </row>
    <row r="25" spans="2:21" x14ac:dyDescent="0.25">
      <c r="B25">
        <v>8679.0059999999994</v>
      </c>
      <c r="C25">
        <v>3304.8577286660902</v>
      </c>
      <c r="E25">
        <v>8680.0059999999994</v>
      </c>
      <c r="F25">
        <v>531595.79476229299</v>
      </c>
      <c r="G25">
        <v>-81619.578872291706</v>
      </c>
      <c r="H25">
        <v>449976.21588999801</v>
      </c>
      <c r="I25">
        <v>-81567.721611347704</v>
      </c>
      <c r="J25">
        <v>4527.1779788106096</v>
      </c>
      <c r="L25">
        <v>8680.0059999999994</v>
      </c>
      <c r="M25">
        <v>351234.73323733697</v>
      </c>
      <c r="N25">
        <v>181483.97552738601</v>
      </c>
      <c r="O25">
        <v>532718.70776472299</v>
      </c>
      <c r="Q25">
        <v>8680.0059999999994</v>
      </c>
      <c r="R25">
        <v>147807.13149447099</v>
      </c>
      <c r="T25">
        <v>8680.0059999999994</v>
      </c>
      <c r="U25">
        <v>-11710.0454333176</v>
      </c>
    </row>
    <row r="26" spans="2:21" x14ac:dyDescent="0.25">
      <c r="B26">
        <v>8680.0059999999994</v>
      </c>
      <c r="C26">
        <v>3304.8577286660902</v>
      </c>
      <c r="E26">
        <v>8681.0059999999994</v>
      </c>
      <c r="F26">
        <v>531595.79476229299</v>
      </c>
      <c r="G26">
        <v>-81509.518872291694</v>
      </c>
      <c r="H26">
        <v>450086.27588999801</v>
      </c>
      <c r="I26">
        <v>-81457.661611347707</v>
      </c>
      <c r="J26">
        <v>4527.1779788106096</v>
      </c>
      <c r="L26">
        <v>8681.0059999999994</v>
      </c>
      <c r="M26">
        <v>351362.15923733701</v>
      </c>
      <c r="N26">
        <v>181504.88152738599</v>
      </c>
      <c r="O26">
        <v>532867.04076472297</v>
      </c>
      <c r="Q26">
        <v>8681.0059999999994</v>
      </c>
      <c r="R26">
        <v>147807.13149447099</v>
      </c>
      <c r="T26">
        <v>8681.0059999999994</v>
      </c>
      <c r="U26">
        <v>-11690.262433317601</v>
      </c>
    </row>
    <row r="27" spans="2:21" x14ac:dyDescent="0.25">
      <c r="B27">
        <v>8681.0059999999994</v>
      </c>
      <c r="C27">
        <v>3304.8577286660902</v>
      </c>
      <c r="E27">
        <v>8682.0059999999994</v>
      </c>
      <c r="F27">
        <v>531595.79476229299</v>
      </c>
      <c r="G27">
        <v>-81394.678872291697</v>
      </c>
      <c r="H27">
        <v>450201.11588999798</v>
      </c>
      <c r="I27">
        <v>-81342.821611347696</v>
      </c>
      <c r="J27">
        <v>4527.1779788106096</v>
      </c>
      <c r="L27">
        <v>8682.0059999999994</v>
      </c>
      <c r="M27">
        <v>351498.54723733698</v>
      </c>
      <c r="N27">
        <v>181525.78652738599</v>
      </c>
      <c r="O27">
        <v>533024.33476472297</v>
      </c>
      <c r="Q27">
        <v>8682.0059999999994</v>
      </c>
      <c r="R27">
        <v>147807.13149447099</v>
      </c>
      <c r="T27">
        <v>8682.0059999999994</v>
      </c>
      <c r="U27">
        <v>-11671.967433317601</v>
      </c>
    </row>
    <row r="28" spans="2:21" x14ac:dyDescent="0.25">
      <c r="B28">
        <v>8682.0059999999994</v>
      </c>
      <c r="C28">
        <v>3304.8577286660902</v>
      </c>
      <c r="E28">
        <v>8683.0059999999994</v>
      </c>
      <c r="F28">
        <v>531595.79476229299</v>
      </c>
      <c r="G28">
        <v>-81294.8688722917</v>
      </c>
      <c r="H28">
        <v>450300.92588999798</v>
      </c>
      <c r="I28">
        <v>-81243.011611347698</v>
      </c>
      <c r="J28">
        <v>4527.1779788106096</v>
      </c>
      <c r="L28">
        <v>8683.0059999999994</v>
      </c>
      <c r="M28">
        <v>351615.893237337</v>
      </c>
      <c r="N28">
        <v>181546.69252738601</v>
      </c>
      <c r="O28">
        <v>533162.58676472295</v>
      </c>
      <c r="Q28">
        <v>8683.0059999999994</v>
      </c>
      <c r="R28">
        <v>147807.13149447099</v>
      </c>
      <c r="T28">
        <v>8683.0059999999994</v>
      </c>
      <c r="U28">
        <v>-11656.4434333176</v>
      </c>
    </row>
    <row r="29" spans="2:21" x14ac:dyDescent="0.25">
      <c r="B29">
        <v>8683.0059999999994</v>
      </c>
      <c r="C29">
        <v>3304.8577286660902</v>
      </c>
      <c r="E29">
        <v>8684.0059999999994</v>
      </c>
      <c r="F29">
        <v>531595.79476229299</v>
      </c>
      <c r="G29">
        <v>-81209.348872291695</v>
      </c>
      <c r="H29">
        <v>450386.44588999799</v>
      </c>
      <c r="I29">
        <v>-81157.491611347694</v>
      </c>
      <c r="J29">
        <v>4527.1779788106096</v>
      </c>
      <c r="L29">
        <v>8684.0059999999994</v>
      </c>
      <c r="M29">
        <v>351713.44023733702</v>
      </c>
      <c r="N29">
        <v>181567.598527386</v>
      </c>
      <c r="O29">
        <v>533281.03976472304</v>
      </c>
      <c r="Q29">
        <v>8684.0059999999994</v>
      </c>
      <c r="R29">
        <v>147807.13149447099</v>
      </c>
      <c r="T29">
        <v>8684.0059999999994</v>
      </c>
      <c r="U29">
        <v>-11641.075433317599</v>
      </c>
    </row>
    <row r="30" spans="2:21" x14ac:dyDescent="0.25">
      <c r="B30">
        <v>8684.0059999999994</v>
      </c>
      <c r="C30">
        <v>3304.8577286660902</v>
      </c>
      <c r="E30">
        <v>8685.0059999999994</v>
      </c>
      <c r="F30">
        <v>531595.79476229299</v>
      </c>
      <c r="G30">
        <v>-81133.758872291699</v>
      </c>
      <c r="H30">
        <v>450462.03588999802</v>
      </c>
      <c r="I30">
        <v>-81081.901611347697</v>
      </c>
      <c r="J30">
        <v>4527.1779788106096</v>
      </c>
      <c r="L30">
        <v>8685.0059999999994</v>
      </c>
      <c r="M30">
        <v>351795.09323733702</v>
      </c>
      <c r="N30">
        <v>181588.50452738599</v>
      </c>
      <c r="O30">
        <v>533383.597764723</v>
      </c>
      <c r="Q30">
        <v>8685.0059999999994</v>
      </c>
      <c r="R30">
        <v>147807.13149447099</v>
      </c>
      <c r="T30">
        <v>8685.0059999999994</v>
      </c>
      <c r="U30">
        <v>-11627.4084333176</v>
      </c>
    </row>
    <row r="31" spans="2:21" x14ac:dyDescent="0.25">
      <c r="B31">
        <v>8685.0059999999994</v>
      </c>
      <c r="C31">
        <v>3304.8577286660902</v>
      </c>
      <c r="E31">
        <v>8686.0059999999994</v>
      </c>
      <c r="F31">
        <v>531595.79476229299</v>
      </c>
      <c r="G31">
        <v>-81069.7288722917</v>
      </c>
      <c r="H31">
        <v>450526.06588999799</v>
      </c>
      <c r="I31">
        <v>-81017.871611347698</v>
      </c>
      <c r="J31">
        <v>4527.1779788106096</v>
      </c>
      <c r="L31">
        <v>8686.0059999999994</v>
      </c>
      <c r="M31">
        <v>351861.96623733698</v>
      </c>
      <c r="N31">
        <v>181609.410527386</v>
      </c>
      <c r="O31">
        <v>533471.37676472298</v>
      </c>
      <c r="Q31">
        <v>8686.0059999999994</v>
      </c>
      <c r="R31">
        <v>147807.13149447099</v>
      </c>
      <c r="T31">
        <v>8686.0059999999994</v>
      </c>
      <c r="U31">
        <v>-11615.868433317601</v>
      </c>
    </row>
    <row r="32" spans="2:21" x14ac:dyDescent="0.25">
      <c r="B32">
        <v>8686.0059999999994</v>
      </c>
      <c r="C32">
        <v>3304.8577286660902</v>
      </c>
      <c r="E32">
        <v>8687.0059999999994</v>
      </c>
      <c r="F32">
        <v>531595.79476229299</v>
      </c>
      <c r="G32">
        <v>-81018.548872291707</v>
      </c>
      <c r="H32">
        <v>450577.24588999798</v>
      </c>
      <c r="I32">
        <v>-80966.501611347703</v>
      </c>
      <c r="J32">
        <v>4527.1779788106096</v>
      </c>
      <c r="L32">
        <v>8687.0059999999994</v>
      </c>
      <c r="M32">
        <v>351914.88923733699</v>
      </c>
      <c r="N32">
        <v>181630.31652738599</v>
      </c>
      <c r="O32">
        <v>533545.20576472301</v>
      </c>
      <c r="Q32">
        <v>8687.0059999999994</v>
      </c>
      <c r="R32">
        <v>147807.13149447099</v>
      </c>
      <c r="T32">
        <v>8687.0059999999994</v>
      </c>
      <c r="U32">
        <v>-11603.6514333176</v>
      </c>
    </row>
    <row r="33" spans="2:21" x14ac:dyDescent="0.25">
      <c r="B33">
        <v>8687.0059999999994</v>
      </c>
      <c r="C33">
        <v>3304.8577286660902</v>
      </c>
      <c r="E33">
        <v>8688.0059999999994</v>
      </c>
      <c r="F33">
        <v>531595.79476229299</v>
      </c>
      <c r="G33">
        <v>-80976.408872291693</v>
      </c>
      <c r="H33">
        <v>450619.385889998</v>
      </c>
      <c r="I33">
        <v>-80924.361611347704</v>
      </c>
      <c r="J33">
        <v>4527.1779788106096</v>
      </c>
      <c r="L33">
        <v>8688.0059999999994</v>
      </c>
      <c r="M33">
        <v>351963.36423733702</v>
      </c>
      <c r="N33">
        <v>181651.22252738601</v>
      </c>
      <c r="O33">
        <v>533614.58676472295</v>
      </c>
      <c r="Q33">
        <v>8688.0059999999994</v>
      </c>
      <c r="R33">
        <v>147807.13149447099</v>
      </c>
      <c r="T33">
        <v>8688.0059999999994</v>
      </c>
      <c r="U33">
        <v>-11590.4744333176</v>
      </c>
    </row>
    <row r="34" spans="2:21" x14ac:dyDescent="0.25">
      <c r="B34">
        <v>8688.0059999999994</v>
      </c>
      <c r="C34">
        <v>3304.8577286660902</v>
      </c>
      <c r="E34">
        <v>8689.0059999999994</v>
      </c>
      <c r="F34">
        <v>531595.79476229299</v>
      </c>
      <c r="G34">
        <v>-80939.638872291704</v>
      </c>
      <c r="H34">
        <v>450656.15588999802</v>
      </c>
      <c r="I34">
        <v>-80887.5916113477</v>
      </c>
      <c r="J34">
        <v>4527.1779788106096</v>
      </c>
      <c r="L34">
        <v>8689.0059999999994</v>
      </c>
      <c r="M34">
        <v>352005.63423733698</v>
      </c>
      <c r="N34">
        <v>181672.128527386</v>
      </c>
      <c r="O34">
        <v>533677.76276472304</v>
      </c>
      <c r="Q34">
        <v>8689.0059999999994</v>
      </c>
      <c r="R34">
        <v>147807.13149447099</v>
      </c>
      <c r="T34">
        <v>8689.0059999999994</v>
      </c>
      <c r="U34">
        <v>-11578.5264333176</v>
      </c>
    </row>
    <row r="35" spans="2:21" x14ac:dyDescent="0.25">
      <c r="B35">
        <v>8689.0059999999994</v>
      </c>
      <c r="C35">
        <v>3304.8577286660902</v>
      </c>
      <c r="E35">
        <v>8690.0059999999994</v>
      </c>
      <c r="F35">
        <v>531595.79476229299</v>
      </c>
      <c r="G35">
        <v>-80906.488872291695</v>
      </c>
      <c r="H35">
        <v>450689.30588999798</v>
      </c>
      <c r="I35">
        <v>-80854.441611347705</v>
      </c>
      <c r="J35">
        <v>4527.1779788106096</v>
      </c>
      <c r="L35">
        <v>8690.0059999999994</v>
      </c>
      <c r="M35">
        <v>352043.94123733701</v>
      </c>
      <c r="N35">
        <v>181693.03452738599</v>
      </c>
      <c r="O35">
        <v>533736.97476472298</v>
      </c>
      <c r="Q35">
        <v>8690.0059999999994</v>
      </c>
      <c r="R35">
        <v>147807.13149447099</v>
      </c>
      <c r="T35">
        <v>8690.0059999999994</v>
      </c>
      <c r="U35">
        <v>-11567.5444333176</v>
      </c>
    </row>
    <row r="36" spans="2:21" x14ac:dyDescent="0.25">
      <c r="B36">
        <v>8690.0059999999994</v>
      </c>
      <c r="C36">
        <v>3304.8577286660902</v>
      </c>
      <c r="E36">
        <v>8691.0059999999994</v>
      </c>
      <c r="F36">
        <v>531595.79476229299</v>
      </c>
      <c r="G36">
        <v>-80874.688872291707</v>
      </c>
      <c r="H36">
        <v>450721.10588999803</v>
      </c>
      <c r="I36">
        <v>-80822.641611347703</v>
      </c>
      <c r="J36">
        <v>4527.1779788106096</v>
      </c>
      <c r="L36">
        <v>8691.0059999999994</v>
      </c>
      <c r="M36">
        <v>352081.01923733699</v>
      </c>
      <c r="N36">
        <v>181713.93952738601</v>
      </c>
      <c r="O36">
        <v>533794.95976472297</v>
      </c>
      <c r="Q36">
        <v>8691.0059999999994</v>
      </c>
      <c r="R36">
        <v>147807.13149447099</v>
      </c>
      <c r="T36">
        <v>8691.0059999999994</v>
      </c>
      <c r="U36">
        <v>-11555.3934333176</v>
      </c>
    </row>
    <row r="37" spans="2:21" x14ac:dyDescent="0.25">
      <c r="B37">
        <v>8691.0059999999994</v>
      </c>
      <c r="C37">
        <v>3304.8577286660902</v>
      </c>
      <c r="E37">
        <v>8692.0059999999994</v>
      </c>
      <c r="F37">
        <v>531595.79476229299</v>
      </c>
      <c r="G37">
        <v>-80844.748872291704</v>
      </c>
      <c r="H37">
        <v>450751.04588999797</v>
      </c>
      <c r="I37">
        <v>-80792.7016113477</v>
      </c>
      <c r="J37">
        <v>4527.1779788106096</v>
      </c>
      <c r="L37">
        <v>8692.0059999999994</v>
      </c>
      <c r="M37">
        <v>352118.029237337</v>
      </c>
      <c r="N37">
        <v>181734.845527386</v>
      </c>
      <c r="O37">
        <v>533852.874764723</v>
      </c>
      <c r="Q37">
        <v>8692.0059999999994</v>
      </c>
      <c r="R37">
        <v>147807.13149447099</v>
      </c>
      <c r="T37">
        <v>8692.0059999999994</v>
      </c>
      <c r="U37">
        <v>-11542.3674333176</v>
      </c>
    </row>
    <row r="38" spans="2:21" x14ac:dyDescent="0.25">
      <c r="B38">
        <v>8692.0059999999994</v>
      </c>
      <c r="C38">
        <v>3304.8577286660902</v>
      </c>
      <c r="E38">
        <v>8693.0059999999994</v>
      </c>
      <c r="F38">
        <v>531595.79476229299</v>
      </c>
      <c r="G38">
        <v>-80812.888872291704</v>
      </c>
      <c r="H38">
        <v>450782.90588999802</v>
      </c>
      <c r="I38">
        <v>-80760.8416113477</v>
      </c>
      <c r="J38">
        <v>4527.1779788106096</v>
      </c>
      <c r="L38">
        <v>8693.0059999999994</v>
      </c>
      <c r="M38">
        <v>352160.09823733702</v>
      </c>
      <c r="N38">
        <v>181755.75152738599</v>
      </c>
      <c r="O38">
        <v>533915.84976472298</v>
      </c>
      <c r="Q38">
        <v>8693.0059999999994</v>
      </c>
      <c r="R38">
        <v>147807.13149447099</v>
      </c>
      <c r="T38">
        <v>8693.0059999999994</v>
      </c>
      <c r="U38">
        <v>-11527.8644333176</v>
      </c>
    </row>
    <row r="39" spans="2:21" x14ac:dyDescent="0.25">
      <c r="B39">
        <v>8693.0059999999994</v>
      </c>
      <c r="C39">
        <v>3304.8577286660902</v>
      </c>
      <c r="E39">
        <v>8694.0059999999994</v>
      </c>
      <c r="F39">
        <v>531595.79476229299</v>
      </c>
      <c r="G39">
        <v>-80771.008872291699</v>
      </c>
      <c r="H39">
        <v>450824.78588999802</v>
      </c>
      <c r="I39">
        <v>-80718.961611347695</v>
      </c>
      <c r="J39">
        <v>4527.1779788106096</v>
      </c>
      <c r="L39">
        <v>8694.0059999999994</v>
      </c>
      <c r="M39">
        <v>352217.24023733701</v>
      </c>
      <c r="N39">
        <v>181776.65752738601</v>
      </c>
      <c r="O39">
        <v>533993.89776472305</v>
      </c>
      <c r="Q39">
        <v>8694.0059999999994</v>
      </c>
      <c r="R39">
        <v>147807.13149447099</v>
      </c>
      <c r="T39">
        <v>8694.0059999999994</v>
      </c>
      <c r="U39">
        <v>-11506.377433317601</v>
      </c>
    </row>
    <row r="40" spans="2:21" x14ac:dyDescent="0.25">
      <c r="B40">
        <v>8694.0059999999994</v>
      </c>
      <c r="C40">
        <v>3304.8577286660902</v>
      </c>
      <c r="E40">
        <v>8695.0059999999994</v>
      </c>
      <c r="F40">
        <v>531595.79476229299</v>
      </c>
      <c r="G40">
        <v>-80722.3688722917</v>
      </c>
      <c r="H40">
        <v>450873.42588999798</v>
      </c>
      <c r="I40">
        <v>-80670.321611347696</v>
      </c>
      <c r="J40">
        <v>4527.1779788106096</v>
      </c>
      <c r="L40">
        <v>8695.0059999999994</v>
      </c>
      <c r="M40">
        <v>352289.41223733698</v>
      </c>
      <c r="N40">
        <v>181797.563527386</v>
      </c>
      <c r="O40">
        <v>534086.97576472303</v>
      </c>
      <c r="Q40">
        <v>8695.0059999999994</v>
      </c>
      <c r="R40">
        <v>147807.13149447099</v>
      </c>
      <c r="T40">
        <v>8695.0059999999994</v>
      </c>
      <c r="U40">
        <v>-11477.3764333176</v>
      </c>
    </row>
    <row r="41" spans="2:21" x14ac:dyDescent="0.25">
      <c r="B41">
        <v>8695.0059999999994</v>
      </c>
      <c r="C41">
        <v>3304.8577286660902</v>
      </c>
      <c r="E41">
        <v>8696.0059999999994</v>
      </c>
      <c r="F41">
        <v>531596.07476229302</v>
      </c>
      <c r="G41">
        <v>-80669.438872291707</v>
      </c>
      <c r="H41">
        <v>450926.635889998</v>
      </c>
      <c r="I41">
        <v>-80617.391611347703</v>
      </c>
      <c r="J41">
        <v>4527.1779788106096</v>
      </c>
      <c r="L41">
        <v>8696.0059999999994</v>
      </c>
      <c r="M41">
        <v>352372.68823733699</v>
      </c>
      <c r="N41">
        <v>181818.46952738601</v>
      </c>
      <c r="O41">
        <v>534191.15776472294</v>
      </c>
      <c r="Q41">
        <v>8696.0059999999994</v>
      </c>
      <c r="R41">
        <v>147807.13149447099</v>
      </c>
      <c r="T41">
        <v>8696.0059999999994</v>
      </c>
      <c r="U41">
        <v>-11444.174433317599</v>
      </c>
    </row>
    <row r="42" spans="2:21" x14ac:dyDescent="0.25">
      <c r="B42">
        <v>8696.0059999999994</v>
      </c>
      <c r="C42">
        <v>3304.8637286660901</v>
      </c>
      <c r="E42">
        <v>8697.0059999999994</v>
      </c>
      <c r="F42">
        <v>531610.250762293</v>
      </c>
      <c r="G42">
        <v>-80620.114872291699</v>
      </c>
      <c r="H42">
        <v>450990.135889998</v>
      </c>
      <c r="I42">
        <v>-80568.067611347695</v>
      </c>
      <c r="J42">
        <v>4527.3169788106097</v>
      </c>
      <c r="L42">
        <v>8697.0059999999994</v>
      </c>
      <c r="M42">
        <v>352460.62923733698</v>
      </c>
      <c r="N42">
        <v>181839.375527386</v>
      </c>
      <c r="O42">
        <v>534300.00476472301</v>
      </c>
      <c r="Q42">
        <v>8697.0059999999994</v>
      </c>
      <c r="R42">
        <v>147807.440494471</v>
      </c>
      <c r="T42">
        <v>8697.0059999999994</v>
      </c>
      <c r="U42">
        <v>-11411.689433317601</v>
      </c>
    </row>
    <row r="43" spans="2:21" x14ac:dyDescent="0.25">
      <c r="B43">
        <v>8697.0059999999994</v>
      </c>
      <c r="C43">
        <v>3305.08672866609</v>
      </c>
      <c r="E43">
        <v>8698.0059999999994</v>
      </c>
      <c r="F43">
        <v>531664.04276229301</v>
      </c>
      <c r="G43">
        <v>-80605.336872291693</v>
      </c>
      <c r="H43">
        <v>451058.705889998</v>
      </c>
      <c r="I43">
        <v>-80553.289611347704</v>
      </c>
      <c r="J43">
        <v>4530.3479788106097</v>
      </c>
      <c r="L43">
        <v>8698.0059999999994</v>
      </c>
      <c r="M43">
        <v>352487.31923733698</v>
      </c>
      <c r="N43">
        <v>181860.28152738599</v>
      </c>
      <c r="O43">
        <v>534347.60076472303</v>
      </c>
      <c r="Q43">
        <v>8698.0059999999994</v>
      </c>
      <c r="R43">
        <v>147819.43349447101</v>
      </c>
      <c r="T43">
        <v>8698.0059999999994</v>
      </c>
      <c r="U43">
        <v>-11402.2024333176</v>
      </c>
    </row>
    <row r="44" spans="2:21" x14ac:dyDescent="0.25">
      <c r="B44">
        <v>8698.0059999999994</v>
      </c>
      <c r="C44">
        <v>3305.8707286660901</v>
      </c>
      <c r="E44">
        <v>8699.0059999999994</v>
      </c>
      <c r="F44">
        <v>531742.51776229299</v>
      </c>
      <c r="G44">
        <v>-80612.641872291701</v>
      </c>
      <c r="H44">
        <v>451129.87588999799</v>
      </c>
      <c r="I44">
        <v>-80560.594611347697</v>
      </c>
      <c r="J44">
        <v>4533.7519788106101</v>
      </c>
      <c r="L44">
        <v>8699.0059999999994</v>
      </c>
      <c r="M44">
        <v>352485.00323733699</v>
      </c>
      <c r="N44">
        <v>181881.18652738599</v>
      </c>
      <c r="O44">
        <v>534366.18976472295</v>
      </c>
      <c r="Q44">
        <v>8699.0059999999994</v>
      </c>
      <c r="R44">
        <v>147840.29549447101</v>
      </c>
      <c r="T44">
        <v>8699.0059999999994</v>
      </c>
      <c r="U44">
        <v>-11406.8024333176</v>
      </c>
    </row>
    <row r="45" spans="2:21" x14ac:dyDescent="0.25">
      <c r="B45">
        <v>8699.0059999999994</v>
      </c>
      <c r="C45">
        <v>3306.8707286660901</v>
      </c>
      <c r="E45">
        <v>8700.0059999999994</v>
      </c>
      <c r="F45">
        <v>531817.331762293</v>
      </c>
      <c r="G45">
        <v>-80626.545872291696</v>
      </c>
      <c r="H45">
        <v>451190.78588999802</v>
      </c>
      <c r="I45">
        <v>-80574.498611347706</v>
      </c>
      <c r="J45">
        <v>4535.7419788106099</v>
      </c>
      <c r="L45">
        <v>8700.0059999999994</v>
      </c>
      <c r="M45">
        <v>352480.74823733699</v>
      </c>
      <c r="N45">
        <v>181902.092527386</v>
      </c>
      <c r="O45">
        <v>534382.84176472295</v>
      </c>
      <c r="Q45">
        <v>8700.0059999999994</v>
      </c>
      <c r="R45">
        <v>147855.086494471</v>
      </c>
      <c r="T45">
        <v>8700.0059999999994</v>
      </c>
      <c r="U45">
        <v>-11415.1224333176</v>
      </c>
    </row>
    <row r="46" spans="2:21" x14ac:dyDescent="0.25">
      <c r="B46">
        <v>8700.0059999999994</v>
      </c>
      <c r="C46">
        <v>3307.8707286660901</v>
      </c>
      <c r="E46">
        <v>8701.0059999999994</v>
      </c>
      <c r="F46">
        <v>531869.78276229301</v>
      </c>
      <c r="G46">
        <v>-80618.496872291696</v>
      </c>
      <c r="H46">
        <v>451251.28588999802</v>
      </c>
      <c r="I46">
        <v>-80566.449611347707</v>
      </c>
      <c r="J46">
        <v>4537.9219788106102</v>
      </c>
      <c r="L46">
        <v>8701.0059999999994</v>
      </c>
      <c r="M46">
        <v>352492.58323733701</v>
      </c>
      <c r="N46">
        <v>181922.99852738599</v>
      </c>
      <c r="O46">
        <v>534415.58176472306</v>
      </c>
      <c r="Q46">
        <v>8701.0059999999994</v>
      </c>
      <c r="R46">
        <v>147864.92849447101</v>
      </c>
      <c r="T46">
        <v>8701.0059999999994</v>
      </c>
      <c r="U46">
        <v>-11410.7584333176</v>
      </c>
    </row>
    <row r="47" spans="2:21" x14ac:dyDescent="0.25">
      <c r="B47">
        <v>8701.0059999999994</v>
      </c>
      <c r="C47">
        <v>3308.7377286660899</v>
      </c>
      <c r="E47">
        <v>8702.0059999999994</v>
      </c>
      <c r="F47">
        <v>531892.53976229299</v>
      </c>
      <c r="G47">
        <v>-80579.7438722917</v>
      </c>
      <c r="H47">
        <v>451312.79588999797</v>
      </c>
      <c r="I47">
        <v>-80527.696611347696</v>
      </c>
      <c r="J47">
        <v>4538.2019788106099</v>
      </c>
      <c r="L47">
        <v>8702.0059999999994</v>
      </c>
      <c r="M47">
        <v>352547.42423733702</v>
      </c>
      <c r="N47">
        <v>181943.90452738601</v>
      </c>
      <c r="O47">
        <v>534491.32876472303</v>
      </c>
      <c r="Q47">
        <v>8702.0059999999994</v>
      </c>
      <c r="R47">
        <v>147865.50149447101</v>
      </c>
      <c r="T47">
        <v>8702.0059999999994</v>
      </c>
      <c r="U47">
        <v>-11392.414433317599</v>
      </c>
    </row>
    <row r="48" spans="2:21" x14ac:dyDescent="0.25">
      <c r="B48">
        <v>8702.0059999999994</v>
      </c>
      <c r="C48">
        <v>3309.1077286660902</v>
      </c>
      <c r="E48">
        <v>8703.0059999999994</v>
      </c>
      <c r="F48">
        <v>531894.61376229301</v>
      </c>
      <c r="G48">
        <v>-80515.187872291703</v>
      </c>
      <c r="H48">
        <v>451379.42588999798</v>
      </c>
      <c r="I48">
        <v>-80463.140611347699</v>
      </c>
      <c r="J48">
        <v>4538.2019788106099</v>
      </c>
      <c r="L48">
        <v>8703.0059999999994</v>
      </c>
      <c r="M48">
        <v>352637.964237337</v>
      </c>
      <c r="N48">
        <v>181964.810527386</v>
      </c>
      <c r="O48">
        <v>534602.77476472303</v>
      </c>
      <c r="Q48">
        <v>8703.0059999999994</v>
      </c>
      <c r="R48">
        <v>147865.50149447101</v>
      </c>
      <c r="T48">
        <v>8703.0059999999994</v>
      </c>
      <c r="U48">
        <v>-11366.736433317599</v>
      </c>
    </row>
    <row r="49" spans="2:21" x14ac:dyDescent="0.25">
      <c r="B49">
        <v>8703.0059999999994</v>
      </c>
      <c r="C49">
        <v>3309.1397286660899</v>
      </c>
      <c r="E49">
        <v>8704.0059999999994</v>
      </c>
      <c r="F49">
        <v>531894.62176229304</v>
      </c>
      <c r="G49">
        <v>-80429.965872291694</v>
      </c>
      <c r="H49">
        <v>451464.65588999802</v>
      </c>
      <c r="I49">
        <v>-80377.918611347704</v>
      </c>
      <c r="J49">
        <v>4538.2019788106099</v>
      </c>
      <c r="L49">
        <v>8704.0059999999994</v>
      </c>
      <c r="M49">
        <v>352760.21923733701</v>
      </c>
      <c r="N49">
        <v>181985.71652738599</v>
      </c>
      <c r="O49">
        <v>534745.93576472299</v>
      </c>
      <c r="Q49">
        <v>8704.0059999999994</v>
      </c>
      <c r="R49">
        <v>147865.50149447101</v>
      </c>
      <c r="T49">
        <v>8704.0059999999994</v>
      </c>
      <c r="U49">
        <v>-11337.371433317599</v>
      </c>
    </row>
    <row r="50" spans="2:21" x14ac:dyDescent="0.25">
      <c r="B50">
        <v>8704.0059999999994</v>
      </c>
      <c r="C50">
        <v>3309.1397286660899</v>
      </c>
      <c r="E50">
        <v>8705.0059999999994</v>
      </c>
      <c r="F50">
        <v>531894.62176229304</v>
      </c>
      <c r="G50">
        <v>-80319.255872291702</v>
      </c>
      <c r="H50">
        <v>451575.36588999798</v>
      </c>
      <c r="I50">
        <v>-80267.208611347698</v>
      </c>
      <c r="J50">
        <v>4538.2019788106099</v>
      </c>
      <c r="L50">
        <v>8705.0059999999994</v>
      </c>
      <c r="M50">
        <v>352914.57923733699</v>
      </c>
      <c r="N50">
        <v>182006.622527386</v>
      </c>
      <c r="O50">
        <v>534921.20176472305</v>
      </c>
      <c r="Q50">
        <v>8705.0059999999994</v>
      </c>
      <c r="R50">
        <v>147865.50149447101</v>
      </c>
      <c r="T50">
        <v>8705.0059999999994</v>
      </c>
      <c r="U50">
        <v>-11302.085433317599</v>
      </c>
    </row>
    <row r="51" spans="2:21" x14ac:dyDescent="0.25">
      <c r="B51">
        <v>8705.0059999999994</v>
      </c>
      <c r="C51">
        <v>3309.1397286660899</v>
      </c>
      <c r="E51">
        <v>8706.0059999999994</v>
      </c>
      <c r="F51">
        <v>531894.62176229304</v>
      </c>
      <c r="G51">
        <v>-80201.415872291705</v>
      </c>
      <c r="H51">
        <v>451693.205889998</v>
      </c>
      <c r="I51">
        <v>-80149.368611347702</v>
      </c>
      <c r="J51">
        <v>4538.2019788106099</v>
      </c>
      <c r="L51">
        <v>8706.0059999999994</v>
      </c>
      <c r="M51">
        <v>353073.34223733703</v>
      </c>
      <c r="N51">
        <v>182027.52852738599</v>
      </c>
      <c r="O51">
        <v>535100.87076472305</v>
      </c>
      <c r="Q51">
        <v>8706.0059999999994</v>
      </c>
      <c r="R51">
        <v>147865.50149447101</v>
      </c>
      <c r="T51">
        <v>8706.0059999999994</v>
      </c>
      <c r="U51">
        <v>-11271.0784333176</v>
      </c>
    </row>
    <row r="52" spans="2:21" x14ac:dyDescent="0.25">
      <c r="B52">
        <v>8706.0059999999994</v>
      </c>
      <c r="C52">
        <v>3309.1397286660899</v>
      </c>
      <c r="E52">
        <v>8707.0059999999994</v>
      </c>
      <c r="F52">
        <v>531894.62176229304</v>
      </c>
      <c r="G52">
        <v>-80105.335872291704</v>
      </c>
      <c r="H52">
        <v>451789.28588999802</v>
      </c>
      <c r="I52">
        <v>-80053.2886113477</v>
      </c>
      <c r="J52">
        <v>4538.2019788106099</v>
      </c>
      <c r="L52">
        <v>8707.0059999999994</v>
      </c>
      <c r="M52">
        <v>353191.17723733699</v>
      </c>
      <c r="N52">
        <v>182048.43452738601</v>
      </c>
      <c r="O52">
        <v>535239.61176472297</v>
      </c>
      <c r="Q52">
        <v>8707.0059999999994</v>
      </c>
      <c r="R52">
        <v>147865.50149447101</v>
      </c>
      <c r="T52">
        <v>8707.0059999999994</v>
      </c>
      <c r="U52">
        <v>-11249.3844333176</v>
      </c>
    </row>
    <row r="53" spans="2:21" x14ac:dyDescent="0.25">
      <c r="B53">
        <v>8707.0059999999994</v>
      </c>
      <c r="C53">
        <v>3309.1397286660899</v>
      </c>
      <c r="E53">
        <v>8708.0059999999994</v>
      </c>
      <c r="F53">
        <v>531894.62176229304</v>
      </c>
      <c r="G53">
        <v>-80016.085872291704</v>
      </c>
      <c r="H53">
        <v>451878.53588999802</v>
      </c>
      <c r="I53">
        <v>-79964.0386113477</v>
      </c>
      <c r="J53">
        <v>4538.2019788106099</v>
      </c>
      <c r="L53">
        <v>8708.0059999999994</v>
      </c>
      <c r="M53">
        <v>353277.19923733699</v>
      </c>
      <c r="N53">
        <v>182069.33952738601</v>
      </c>
      <c r="O53">
        <v>535346.53876472299</v>
      </c>
      <c r="Q53">
        <v>8708.0059999999994</v>
      </c>
      <c r="R53">
        <v>147865.50149447101</v>
      </c>
      <c r="T53">
        <v>8708.0059999999994</v>
      </c>
      <c r="U53">
        <v>-11232.4264333176</v>
      </c>
    </row>
    <row r="54" spans="2:21" x14ac:dyDescent="0.25">
      <c r="B54">
        <v>8708.0059999999994</v>
      </c>
      <c r="C54">
        <v>3309.1397286660899</v>
      </c>
      <c r="E54">
        <v>8709.0059999999994</v>
      </c>
      <c r="F54">
        <v>531894.62176229304</v>
      </c>
      <c r="G54">
        <v>-79943.115872291703</v>
      </c>
      <c r="H54">
        <v>451951.50588999799</v>
      </c>
      <c r="I54">
        <v>-79891.068611347699</v>
      </c>
      <c r="J54">
        <v>4538.2019788106099</v>
      </c>
      <c r="L54">
        <v>8709.0059999999994</v>
      </c>
      <c r="M54">
        <v>353346.22323733702</v>
      </c>
      <c r="N54">
        <v>182090.245527386</v>
      </c>
      <c r="O54">
        <v>535436.46976472298</v>
      </c>
      <c r="Q54">
        <v>8709.0059999999994</v>
      </c>
      <c r="R54">
        <v>147865.50149447101</v>
      </c>
      <c r="T54">
        <v>8709.0059999999994</v>
      </c>
      <c r="U54">
        <v>-11219.0194333176</v>
      </c>
    </row>
    <row r="55" spans="2:21" x14ac:dyDescent="0.25">
      <c r="B55">
        <v>8709.0059999999994</v>
      </c>
      <c r="C55">
        <v>3309.1397286660899</v>
      </c>
      <c r="E55">
        <v>8710.0059999999994</v>
      </c>
      <c r="F55">
        <v>531894.62176229304</v>
      </c>
      <c r="G55">
        <v>-79876.255872291702</v>
      </c>
      <c r="H55">
        <v>452018.36588999798</v>
      </c>
      <c r="I55">
        <v>-79824.208611347698</v>
      </c>
      <c r="J55">
        <v>4538.2019788106099</v>
      </c>
      <c r="L55">
        <v>8710.0059999999994</v>
      </c>
      <c r="M55">
        <v>353407.62323733699</v>
      </c>
      <c r="N55">
        <v>182111.15152738601</v>
      </c>
      <c r="O55">
        <v>535518.77476472303</v>
      </c>
      <c r="Q55">
        <v>8710.0059999999994</v>
      </c>
      <c r="R55">
        <v>147865.50149447101</v>
      </c>
      <c r="T55">
        <v>8710.0059999999994</v>
      </c>
      <c r="U55">
        <v>-11207.746433317599</v>
      </c>
    </row>
    <row r="56" spans="2:21" x14ac:dyDescent="0.25">
      <c r="B56">
        <v>8710.0059999999994</v>
      </c>
      <c r="C56">
        <v>3309.1397286660899</v>
      </c>
      <c r="E56">
        <v>8711.0059999999994</v>
      </c>
      <c r="F56">
        <v>531894.62176229304</v>
      </c>
      <c r="G56">
        <v>-79820.945872291704</v>
      </c>
      <c r="H56">
        <v>452073.67588999798</v>
      </c>
      <c r="I56">
        <v>-79768.8986113477</v>
      </c>
      <c r="J56">
        <v>4538.2019788106099</v>
      </c>
      <c r="L56">
        <v>8711.0059999999994</v>
      </c>
      <c r="M56">
        <v>353456.35223733698</v>
      </c>
      <c r="N56">
        <v>182132.057527386</v>
      </c>
      <c r="O56">
        <v>535588.40976472304</v>
      </c>
      <c r="Q56">
        <v>8711.0059999999994</v>
      </c>
      <c r="R56">
        <v>147865.50149447101</v>
      </c>
      <c r="T56">
        <v>8711.0059999999994</v>
      </c>
      <c r="U56">
        <v>-11198.815433317601</v>
      </c>
    </row>
    <row r="57" spans="2:21" x14ac:dyDescent="0.25">
      <c r="B57">
        <v>8711.0059999999994</v>
      </c>
      <c r="C57">
        <v>3309.1397286660899</v>
      </c>
      <c r="E57">
        <v>8712.0059999999994</v>
      </c>
      <c r="F57">
        <v>531894.62176229304</v>
      </c>
      <c r="G57">
        <v>-79777.865872291703</v>
      </c>
      <c r="H57">
        <v>452116.75588999799</v>
      </c>
      <c r="I57">
        <v>-79725.818611347699</v>
      </c>
      <c r="J57">
        <v>4538.2019788106099</v>
      </c>
      <c r="L57">
        <v>8712.0059999999994</v>
      </c>
      <c r="M57">
        <v>353503.04823733697</v>
      </c>
      <c r="N57">
        <v>182152.96352738599</v>
      </c>
      <c r="O57">
        <v>535656.01176472299</v>
      </c>
      <c r="Q57">
        <v>8712.0059999999994</v>
      </c>
      <c r="R57">
        <v>147865.50149447101</v>
      </c>
      <c r="T57">
        <v>8712.0059999999994</v>
      </c>
      <c r="U57">
        <v>-11192.0514333176</v>
      </c>
    </row>
    <row r="58" spans="2:21" x14ac:dyDescent="0.25">
      <c r="B58">
        <v>8712.0059999999994</v>
      </c>
      <c r="C58">
        <v>3309.1397286660899</v>
      </c>
      <c r="E58">
        <v>8713.0059999999994</v>
      </c>
      <c r="F58">
        <v>531894.62176229304</v>
      </c>
      <c r="G58">
        <v>-79742.695872291704</v>
      </c>
      <c r="H58">
        <v>452151.92588999798</v>
      </c>
      <c r="I58">
        <v>-79690.6486113477</v>
      </c>
      <c r="J58">
        <v>4538.2019788106099</v>
      </c>
      <c r="L58">
        <v>8713.0059999999994</v>
      </c>
      <c r="M58">
        <v>353540.75123733701</v>
      </c>
      <c r="N58">
        <v>182173.86952738601</v>
      </c>
      <c r="O58">
        <v>535714.619764723</v>
      </c>
      <c r="Q58">
        <v>8713.0059999999994</v>
      </c>
      <c r="R58">
        <v>147865.50149447101</v>
      </c>
      <c r="T58">
        <v>8713.0059999999994</v>
      </c>
      <c r="U58">
        <v>-11187.082433317601</v>
      </c>
    </row>
    <row r="59" spans="2:21" x14ac:dyDescent="0.25">
      <c r="B59">
        <v>8713.0059999999994</v>
      </c>
      <c r="C59">
        <v>3309.1397286660899</v>
      </c>
      <c r="E59">
        <v>8714.0059999999994</v>
      </c>
      <c r="F59">
        <v>531894.62176229304</v>
      </c>
      <c r="G59">
        <v>-79708.825872291694</v>
      </c>
      <c r="H59">
        <v>452185.79588999797</v>
      </c>
      <c r="I59">
        <v>-79656.778611347705</v>
      </c>
      <c r="J59">
        <v>4538.2019788106099</v>
      </c>
      <c r="L59">
        <v>8714.0059999999994</v>
      </c>
      <c r="M59">
        <v>353576.78123733698</v>
      </c>
      <c r="N59">
        <v>182194.77552738599</v>
      </c>
      <c r="O59">
        <v>535771.55676472303</v>
      </c>
      <c r="Q59">
        <v>8714.0059999999994</v>
      </c>
      <c r="R59">
        <v>147865.50149447101</v>
      </c>
      <c r="T59">
        <v>8714.0059999999994</v>
      </c>
      <c r="U59">
        <v>-11182.1234333176</v>
      </c>
    </row>
    <row r="60" spans="2:21" x14ac:dyDescent="0.25">
      <c r="B60">
        <v>8714.0059999999994</v>
      </c>
      <c r="C60">
        <v>3309.1397286660899</v>
      </c>
      <c r="E60">
        <v>8715.0059999999994</v>
      </c>
      <c r="F60">
        <v>531894.62176229304</v>
      </c>
      <c r="G60">
        <v>-79677.195872291704</v>
      </c>
      <c r="H60">
        <v>452217.42588999798</v>
      </c>
      <c r="I60">
        <v>-79625.1486113477</v>
      </c>
      <c r="J60">
        <v>4538.2019788106099</v>
      </c>
      <c r="L60">
        <v>8715.0059999999994</v>
      </c>
      <c r="M60">
        <v>353609.58023733698</v>
      </c>
      <c r="N60">
        <v>182215.68152738601</v>
      </c>
      <c r="O60">
        <v>535825.26076472295</v>
      </c>
      <c r="Q60">
        <v>8715.0059999999994</v>
      </c>
      <c r="R60">
        <v>147865.50149447101</v>
      </c>
      <c r="T60">
        <v>8715.0059999999994</v>
      </c>
      <c r="U60">
        <v>-11176.9894333176</v>
      </c>
    </row>
    <row r="61" spans="2:21" x14ac:dyDescent="0.25">
      <c r="B61">
        <v>8715.0059999999994</v>
      </c>
      <c r="C61">
        <v>3309.1397286660899</v>
      </c>
      <c r="E61">
        <v>8716.0059999999994</v>
      </c>
      <c r="F61">
        <v>531894.62176229304</v>
      </c>
      <c r="G61">
        <v>-79646.145872291701</v>
      </c>
      <c r="H61">
        <v>452248.47588999802</v>
      </c>
      <c r="I61">
        <v>-79594.098611347697</v>
      </c>
      <c r="J61">
        <v>4538.2019788106099</v>
      </c>
      <c r="L61">
        <v>8716.0059999999994</v>
      </c>
      <c r="M61">
        <v>353642.05523733702</v>
      </c>
      <c r="N61">
        <v>182236.58652738601</v>
      </c>
      <c r="O61">
        <v>535878.641764723</v>
      </c>
      <c r="Q61">
        <v>8716.0059999999994</v>
      </c>
      <c r="R61">
        <v>147865.50149447101</v>
      </c>
      <c r="T61">
        <v>8716.0059999999994</v>
      </c>
      <c r="U61">
        <v>-11172.5864333176</v>
      </c>
    </row>
    <row r="62" spans="2:21" x14ac:dyDescent="0.25">
      <c r="B62">
        <v>8716.0059999999994</v>
      </c>
      <c r="C62">
        <v>3309.1397286660899</v>
      </c>
      <c r="E62">
        <v>8717.0059999999994</v>
      </c>
      <c r="F62">
        <v>531894.62176229304</v>
      </c>
      <c r="G62">
        <v>-79612.635872291707</v>
      </c>
      <c r="H62">
        <v>452281.98588999797</v>
      </c>
      <c r="I62">
        <v>-79560.5386113477</v>
      </c>
      <c r="J62">
        <v>4538.2019788106099</v>
      </c>
      <c r="L62">
        <v>8717.0059999999994</v>
      </c>
      <c r="M62">
        <v>353677.88123733702</v>
      </c>
      <c r="N62">
        <v>182257.492527386</v>
      </c>
      <c r="O62">
        <v>535935.37376472296</v>
      </c>
      <c r="Q62">
        <v>8717.0059999999994</v>
      </c>
      <c r="R62">
        <v>147865.50149447101</v>
      </c>
      <c r="T62">
        <v>8717.0059999999994</v>
      </c>
      <c r="U62">
        <v>-11168.030433317599</v>
      </c>
    </row>
    <row r="63" spans="2:21" x14ac:dyDescent="0.25">
      <c r="B63">
        <v>8717.0059999999994</v>
      </c>
      <c r="C63">
        <v>3309.1397286660899</v>
      </c>
      <c r="E63">
        <v>8718.0059999999994</v>
      </c>
      <c r="F63">
        <v>531894.62176229304</v>
      </c>
      <c r="G63">
        <v>-79571.615872291703</v>
      </c>
      <c r="H63">
        <v>452323.00588999799</v>
      </c>
      <c r="I63">
        <v>-79519.518611347696</v>
      </c>
      <c r="J63">
        <v>4538.2019788106099</v>
      </c>
      <c r="L63">
        <v>8718.0059999999994</v>
      </c>
      <c r="M63">
        <v>353722.13023733703</v>
      </c>
      <c r="N63">
        <v>182278.39852738599</v>
      </c>
      <c r="O63">
        <v>536000.52876472299</v>
      </c>
      <c r="Q63">
        <v>8718.0059999999994</v>
      </c>
      <c r="R63">
        <v>147865.50149447101</v>
      </c>
      <c r="T63">
        <v>8718.0059999999994</v>
      </c>
      <c r="U63">
        <v>-11161.8844333176</v>
      </c>
    </row>
    <row r="64" spans="2:21" x14ac:dyDescent="0.25">
      <c r="B64">
        <v>8718.0059999999994</v>
      </c>
      <c r="C64">
        <v>3309.1397286660899</v>
      </c>
      <c r="E64">
        <v>8719.0059999999994</v>
      </c>
      <c r="F64">
        <v>531894.62176229304</v>
      </c>
      <c r="G64">
        <v>-79524.275872291706</v>
      </c>
      <c r="H64">
        <v>452370.34588999802</v>
      </c>
      <c r="I64">
        <v>-79472.098611347697</v>
      </c>
      <c r="J64">
        <v>4538.2019788106099</v>
      </c>
      <c r="L64">
        <v>8719.0059999999994</v>
      </c>
      <c r="M64">
        <v>353773.21223733702</v>
      </c>
      <c r="N64">
        <v>182299.304527386</v>
      </c>
      <c r="O64">
        <v>536072.516764723</v>
      </c>
      <c r="Q64">
        <v>8719.0059999999994</v>
      </c>
      <c r="R64">
        <v>147865.50149447101</v>
      </c>
      <c r="T64">
        <v>8719.0059999999994</v>
      </c>
      <c r="U64">
        <v>-11153.1774333176</v>
      </c>
    </row>
    <row r="65" spans="2:21" x14ac:dyDescent="0.25">
      <c r="B65">
        <v>8719.0059999999994</v>
      </c>
      <c r="C65">
        <v>3309.1397286660899</v>
      </c>
      <c r="E65">
        <v>8720.0059999999994</v>
      </c>
      <c r="F65">
        <v>531894.64676229295</v>
      </c>
      <c r="G65">
        <v>-79463.1908722917</v>
      </c>
      <c r="H65">
        <v>452431.455889998</v>
      </c>
      <c r="I65">
        <v>-79411.013611347706</v>
      </c>
      <c r="J65">
        <v>4538.2019788106099</v>
      </c>
      <c r="L65">
        <v>8720.0059999999994</v>
      </c>
      <c r="M65">
        <v>353839.37923733698</v>
      </c>
      <c r="N65">
        <v>182320.21052738599</v>
      </c>
      <c r="O65">
        <v>536159.58976472297</v>
      </c>
      <c r="Q65">
        <v>8720.0059999999994</v>
      </c>
      <c r="R65">
        <v>147865.50149447101</v>
      </c>
      <c r="T65">
        <v>8720.0059999999994</v>
      </c>
      <c r="U65">
        <v>-11140.350433317601</v>
      </c>
    </row>
    <row r="66" spans="2:21" x14ac:dyDescent="0.25">
      <c r="B66">
        <v>8720.0059999999994</v>
      </c>
      <c r="C66">
        <v>3309.1397286660899</v>
      </c>
      <c r="E66">
        <v>8721.0059999999994</v>
      </c>
      <c r="F66">
        <v>531897.353762293</v>
      </c>
      <c r="G66">
        <v>-79398.9978722917</v>
      </c>
      <c r="H66">
        <v>452498.35588999803</v>
      </c>
      <c r="I66">
        <v>-79346.820611347706</v>
      </c>
      <c r="J66">
        <v>4538.2019788106099</v>
      </c>
      <c r="L66">
        <v>8721.0059999999994</v>
      </c>
      <c r="M66">
        <v>353909.48723733699</v>
      </c>
      <c r="N66">
        <v>182341.11652738601</v>
      </c>
      <c r="O66">
        <v>536250.60376472306</v>
      </c>
      <c r="Q66">
        <v>8721.0059999999994</v>
      </c>
      <c r="R66">
        <v>147865.50149447101</v>
      </c>
      <c r="T66">
        <v>8721.0059999999994</v>
      </c>
      <c r="U66">
        <v>-11126.9544333176</v>
      </c>
    </row>
    <row r="67" spans="2:21" x14ac:dyDescent="0.25">
      <c r="B67">
        <v>8721.0059999999994</v>
      </c>
      <c r="C67">
        <v>3309.1807286660901</v>
      </c>
      <c r="E67">
        <v>8722.0059999999994</v>
      </c>
      <c r="F67">
        <v>531907.92576229305</v>
      </c>
      <c r="G67">
        <v>-79346.359872291694</v>
      </c>
      <c r="H67">
        <v>452561.56588999799</v>
      </c>
      <c r="I67">
        <v>-79294.1826113477</v>
      </c>
      <c r="J67">
        <v>4538.1989788106102</v>
      </c>
      <c r="L67">
        <v>8722.0059999999994</v>
      </c>
      <c r="M67">
        <v>353966.975237337</v>
      </c>
      <c r="N67">
        <v>182362.022527386</v>
      </c>
      <c r="O67">
        <v>536328.99776472303</v>
      </c>
      <c r="Q67">
        <v>8722.0059999999994</v>
      </c>
      <c r="R67">
        <v>147865.52549447099</v>
      </c>
      <c r="T67">
        <v>8722.0059999999994</v>
      </c>
      <c r="U67">
        <v>-11116.199433317601</v>
      </c>
    </row>
    <row r="68" spans="2:21" x14ac:dyDescent="0.25">
      <c r="B68">
        <v>8722.0059999999994</v>
      </c>
      <c r="C68">
        <v>3309.34772866609</v>
      </c>
      <c r="E68">
        <v>8723.0059999999994</v>
      </c>
      <c r="F68">
        <v>531925.11376229301</v>
      </c>
      <c r="G68">
        <v>-79299.3878722917</v>
      </c>
      <c r="H68">
        <v>452625.72588999802</v>
      </c>
      <c r="I68">
        <v>-79247.210611347706</v>
      </c>
      <c r="J68">
        <v>4538.2089788106096</v>
      </c>
      <c r="L68">
        <v>8723.0059999999994</v>
      </c>
      <c r="M68">
        <v>354018.31123733701</v>
      </c>
      <c r="N68">
        <v>182382.92852738599</v>
      </c>
      <c r="O68">
        <v>536401.23876472295</v>
      </c>
      <c r="Q68">
        <v>8723.0059999999994</v>
      </c>
      <c r="R68">
        <v>147865.63649447099</v>
      </c>
      <c r="T68">
        <v>8723.0059999999994</v>
      </c>
      <c r="U68">
        <v>-11106.3854333176</v>
      </c>
    </row>
    <row r="69" spans="2:21" x14ac:dyDescent="0.25">
      <c r="B69">
        <v>8723.0059999999994</v>
      </c>
      <c r="C69">
        <v>3309.61572866609</v>
      </c>
      <c r="E69">
        <v>8724.0059999999994</v>
      </c>
      <c r="F69">
        <v>531943.37876229302</v>
      </c>
      <c r="G69">
        <v>-79254.462872291697</v>
      </c>
      <c r="H69">
        <v>452688.91588999802</v>
      </c>
      <c r="I69">
        <v>-79202.285611347703</v>
      </c>
      <c r="J69">
        <v>4538.1359788106101</v>
      </c>
      <c r="L69">
        <v>8724.0059999999994</v>
      </c>
      <c r="M69">
        <v>354068.11223733699</v>
      </c>
      <c r="N69">
        <v>182403.834527386</v>
      </c>
      <c r="O69">
        <v>536471.94676472305</v>
      </c>
      <c r="Q69">
        <v>8724.0059999999994</v>
      </c>
      <c r="R69">
        <v>147865.81649447099</v>
      </c>
      <c r="T69">
        <v>8724.0059999999994</v>
      </c>
      <c r="U69">
        <v>-11096.700433317599</v>
      </c>
    </row>
    <row r="70" spans="2:21" x14ac:dyDescent="0.25">
      <c r="B70">
        <v>8724.0059999999994</v>
      </c>
      <c r="C70">
        <v>3309.9047286660898</v>
      </c>
      <c r="E70">
        <v>8725.0059999999994</v>
      </c>
      <c r="F70">
        <v>531958.86276229296</v>
      </c>
      <c r="G70">
        <v>-79203.296872291699</v>
      </c>
      <c r="H70">
        <v>452755.56588999799</v>
      </c>
      <c r="I70">
        <v>-79151.119611347705</v>
      </c>
      <c r="J70">
        <v>4538.1459788106104</v>
      </c>
      <c r="L70">
        <v>8725.0059999999994</v>
      </c>
      <c r="M70">
        <v>354124.98523733701</v>
      </c>
      <c r="N70">
        <v>182424.739527386</v>
      </c>
      <c r="O70">
        <v>536549.72476472298</v>
      </c>
      <c r="Q70">
        <v>8725.0059999999994</v>
      </c>
      <c r="R70">
        <v>147865.85649447099</v>
      </c>
      <c r="T70">
        <v>8725.0059999999994</v>
      </c>
      <c r="U70">
        <v>-11084.903433317601</v>
      </c>
    </row>
    <row r="71" spans="2:21" x14ac:dyDescent="0.25">
      <c r="B71">
        <v>8725.0059999999994</v>
      </c>
      <c r="C71">
        <v>3310.1367286660902</v>
      </c>
      <c r="E71">
        <v>8726.0059999999994</v>
      </c>
      <c r="F71">
        <v>531967.53476229298</v>
      </c>
      <c r="G71">
        <v>-79148.578872291706</v>
      </c>
      <c r="H71">
        <v>452818.955889998</v>
      </c>
      <c r="I71">
        <v>-79096.401611347697</v>
      </c>
      <c r="J71">
        <v>4538.1419788106105</v>
      </c>
      <c r="L71">
        <v>8726.0059999999994</v>
      </c>
      <c r="M71">
        <v>354186.133237337</v>
      </c>
      <c r="N71">
        <v>182445.64552738599</v>
      </c>
      <c r="O71">
        <v>536631.77876472299</v>
      </c>
      <c r="Q71">
        <v>8726.0059999999994</v>
      </c>
      <c r="R71">
        <v>147865.88749447101</v>
      </c>
      <c r="T71">
        <v>8726.0059999999994</v>
      </c>
      <c r="U71">
        <v>-11071.4984333176</v>
      </c>
    </row>
    <row r="72" spans="2:21" x14ac:dyDescent="0.25">
      <c r="B72">
        <v>8726.0059999999994</v>
      </c>
      <c r="C72">
        <v>3310.2737286660899</v>
      </c>
      <c r="E72">
        <v>8727.0059999999994</v>
      </c>
      <c r="F72">
        <v>531968.76876229304</v>
      </c>
      <c r="G72">
        <v>-79072.322872291697</v>
      </c>
      <c r="H72">
        <v>452896.44588999799</v>
      </c>
      <c r="I72">
        <v>-79020.145611347703</v>
      </c>
      <c r="J72">
        <v>4538.1419788106105</v>
      </c>
      <c r="L72">
        <v>8727.0059999999994</v>
      </c>
      <c r="M72">
        <v>354270.61023733701</v>
      </c>
      <c r="N72">
        <v>182466.55152738601</v>
      </c>
      <c r="O72">
        <v>536737.16176472302</v>
      </c>
      <c r="Q72">
        <v>8727.0059999999994</v>
      </c>
      <c r="R72">
        <v>147865.88749447101</v>
      </c>
      <c r="T72">
        <v>8727.0059999999994</v>
      </c>
      <c r="U72">
        <v>-11050.0004333176</v>
      </c>
    </row>
    <row r="73" spans="2:21" x14ac:dyDescent="0.25">
      <c r="B73">
        <v>8727.0059999999994</v>
      </c>
      <c r="C73">
        <v>3310.28972866609</v>
      </c>
      <c r="E73">
        <v>8728.0059999999994</v>
      </c>
      <c r="F73">
        <v>531968.77676229295</v>
      </c>
      <c r="G73">
        <v>-78987.620872291707</v>
      </c>
      <c r="H73">
        <v>452981.15588999802</v>
      </c>
      <c r="I73">
        <v>-78935.443611347699</v>
      </c>
      <c r="J73">
        <v>4538.1419788106105</v>
      </c>
      <c r="L73">
        <v>8728.0059999999994</v>
      </c>
      <c r="M73">
        <v>354369.94023733702</v>
      </c>
      <c r="N73">
        <v>182487.457527386</v>
      </c>
      <c r="O73">
        <v>536857.39876472298</v>
      </c>
      <c r="Q73">
        <v>8728.0059999999994</v>
      </c>
      <c r="R73">
        <v>147865.88749447101</v>
      </c>
      <c r="T73">
        <v>8728.0059999999994</v>
      </c>
      <c r="U73">
        <v>-11024.689433317601</v>
      </c>
    </row>
    <row r="74" spans="2:21" x14ac:dyDescent="0.25">
      <c r="B74">
        <v>8728.0059999999994</v>
      </c>
      <c r="C74">
        <v>3310.28972866609</v>
      </c>
      <c r="E74">
        <v>8729.0059999999994</v>
      </c>
      <c r="F74">
        <v>531968.77676229295</v>
      </c>
      <c r="G74">
        <v>-78878.830872291699</v>
      </c>
      <c r="H74">
        <v>453089.94588999799</v>
      </c>
      <c r="I74">
        <v>-78826.653611347705</v>
      </c>
      <c r="J74">
        <v>4538.1419788106105</v>
      </c>
      <c r="L74">
        <v>8729.0059999999994</v>
      </c>
      <c r="M74">
        <v>354504.01223733701</v>
      </c>
      <c r="N74">
        <v>182508.36352738601</v>
      </c>
      <c r="O74">
        <v>537012.37576472305</v>
      </c>
      <c r="Q74">
        <v>8729.0059999999994</v>
      </c>
      <c r="R74">
        <v>147865.88749447101</v>
      </c>
      <c r="T74">
        <v>8729.0059999999994</v>
      </c>
      <c r="U74">
        <v>-10990.451433317599</v>
      </c>
    </row>
    <row r="75" spans="2:21" x14ac:dyDescent="0.25">
      <c r="B75">
        <v>8729.0059999999994</v>
      </c>
      <c r="C75">
        <v>3310.28972866609</v>
      </c>
      <c r="E75">
        <v>8730.0059999999994</v>
      </c>
      <c r="F75">
        <v>531968.77676229295</v>
      </c>
      <c r="G75">
        <v>-78773.010872291707</v>
      </c>
      <c r="H75">
        <v>453195.765889998</v>
      </c>
      <c r="I75">
        <v>-78720.833611347698</v>
      </c>
      <c r="J75">
        <v>4538.1419788106105</v>
      </c>
      <c r="L75">
        <v>8730.0059999999994</v>
      </c>
      <c r="M75">
        <v>354631.58223733702</v>
      </c>
      <c r="N75">
        <v>182529.269527386</v>
      </c>
      <c r="O75">
        <v>537160.85176472296</v>
      </c>
      <c r="Q75">
        <v>8730.0059999999994</v>
      </c>
      <c r="R75">
        <v>147865.88749447101</v>
      </c>
      <c r="T75">
        <v>8730.0059999999994</v>
      </c>
      <c r="U75">
        <v>-10958.6324333176</v>
      </c>
    </row>
    <row r="76" spans="2:21" x14ac:dyDescent="0.25">
      <c r="B76">
        <v>8730.0059999999994</v>
      </c>
      <c r="C76">
        <v>3310.28972866609</v>
      </c>
      <c r="E76">
        <v>8731.0059999999994</v>
      </c>
      <c r="F76">
        <v>531968.77676229295</v>
      </c>
      <c r="G76">
        <v>-78684.200872291694</v>
      </c>
      <c r="H76">
        <v>453284.575889998</v>
      </c>
      <c r="I76">
        <v>-78632.0236113477</v>
      </c>
      <c r="J76">
        <v>4538.1419788106105</v>
      </c>
      <c r="L76">
        <v>8731.0059999999994</v>
      </c>
      <c r="M76">
        <v>354737.25523733703</v>
      </c>
      <c r="N76">
        <v>182550.17552738599</v>
      </c>
      <c r="O76">
        <v>537287.42976472306</v>
      </c>
      <c r="Q76">
        <v>8731.0059999999994</v>
      </c>
      <c r="R76">
        <v>147865.88749447101</v>
      </c>
      <c r="T76">
        <v>8731.0059999999994</v>
      </c>
      <c r="U76">
        <v>-10933.442433317599</v>
      </c>
    </row>
    <row r="77" spans="2:21" x14ac:dyDescent="0.25">
      <c r="B77">
        <v>8731.0059999999994</v>
      </c>
      <c r="C77">
        <v>3310.28972866609</v>
      </c>
      <c r="E77">
        <v>8732.0059999999994</v>
      </c>
      <c r="F77">
        <v>531968.77676229295</v>
      </c>
      <c r="G77">
        <v>-78594.600872291703</v>
      </c>
      <c r="H77">
        <v>453374.17588999798</v>
      </c>
      <c r="I77">
        <v>-78542.423611347695</v>
      </c>
      <c r="J77">
        <v>4538.1419788106105</v>
      </c>
      <c r="L77">
        <v>8732.0059999999994</v>
      </c>
      <c r="M77">
        <v>354843.66623733699</v>
      </c>
      <c r="N77">
        <v>182571.08152738601</v>
      </c>
      <c r="O77">
        <v>537414.74776472303</v>
      </c>
      <c r="Q77">
        <v>8732.0059999999994</v>
      </c>
      <c r="R77">
        <v>147865.88749447101</v>
      </c>
      <c r="T77">
        <v>8732.0059999999994</v>
      </c>
      <c r="U77">
        <v>-10912.592433317601</v>
      </c>
    </row>
    <row r="78" spans="2:21" x14ac:dyDescent="0.25">
      <c r="B78">
        <v>8732.0059999999994</v>
      </c>
      <c r="C78">
        <v>3310.28972866609</v>
      </c>
      <c r="E78">
        <v>8733.0059999999994</v>
      </c>
      <c r="F78">
        <v>531968.77676229295</v>
      </c>
      <c r="G78">
        <v>-78510.790872291705</v>
      </c>
      <c r="H78">
        <v>453457.98588999797</v>
      </c>
      <c r="I78">
        <v>-78458.613611347697</v>
      </c>
      <c r="J78">
        <v>4538.1419788106105</v>
      </c>
      <c r="L78">
        <v>8733.0059999999994</v>
      </c>
      <c r="M78">
        <v>354943.51423733699</v>
      </c>
      <c r="N78">
        <v>182591.98652738601</v>
      </c>
      <c r="O78">
        <v>537535.50176472298</v>
      </c>
      <c r="Q78">
        <v>8733.0059999999994</v>
      </c>
      <c r="R78">
        <v>147865.88749447101</v>
      </c>
      <c r="T78">
        <v>8733.0059999999994</v>
      </c>
      <c r="U78">
        <v>-10892.8764333176</v>
      </c>
    </row>
    <row r="79" spans="2:21" x14ac:dyDescent="0.25">
      <c r="B79">
        <v>8733.0059999999994</v>
      </c>
      <c r="C79">
        <v>3310.28972866609</v>
      </c>
      <c r="E79">
        <v>8734.0059999999994</v>
      </c>
      <c r="F79">
        <v>531968.77676229295</v>
      </c>
      <c r="G79">
        <v>-78439.780872291696</v>
      </c>
      <c r="H79">
        <v>453528.99588999798</v>
      </c>
      <c r="I79">
        <v>-78387.603611347702</v>
      </c>
      <c r="J79">
        <v>4538.1419788106105</v>
      </c>
      <c r="L79">
        <v>8734.0059999999994</v>
      </c>
      <c r="M79">
        <v>355022.339237337</v>
      </c>
      <c r="N79">
        <v>182612.89252738599</v>
      </c>
      <c r="O79">
        <v>537635.23176472296</v>
      </c>
      <c r="Q79">
        <v>8734.0059999999994</v>
      </c>
      <c r="R79">
        <v>147865.88749447101</v>
      </c>
      <c r="T79">
        <v>8734.0059999999994</v>
      </c>
      <c r="U79">
        <v>-10878.2384333176</v>
      </c>
    </row>
    <row r="80" spans="2:21" x14ac:dyDescent="0.25">
      <c r="B80">
        <v>8734.0059999999994</v>
      </c>
      <c r="C80">
        <v>3310.28972866609</v>
      </c>
      <c r="E80">
        <v>8735.0059999999994</v>
      </c>
      <c r="F80">
        <v>531968.77676229295</v>
      </c>
      <c r="G80">
        <v>-78381.130872291702</v>
      </c>
      <c r="H80">
        <v>453587.64588999801</v>
      </c>
      <c r="I80">
        <v>-78328.953611347693</v>
      </c>
      <c r="J80">
        <v>4538.1419788106105</v>
      </c>
      <c r="L80">
        <v>8735.0059999999994</v>
      </c>
      <c r="M80">
        <v>355085.78123733698</v>
      </c>
      <c r="N80">
        <v>182633.79852738601</v>
      </c>
      <c r="O80">
        <v>537719.57976472296</v>
      </c>
      <c r="Q80">
        <v>8735.0059999999994</v>
      </c>
      <c r="R80">
        <v>147865.88749447101</v>
      </c>
      <c r="T80">
        <v>8735.0059999999994</v>
      </c>
      <c r="U80">
        <v>-10866.1084333176</v>
      </c>
    </row>
    <row r="81" spans="2:21" x14ac:dyDescent="0.25">
      <c r="B81">
        <v>8735.0059999999994</v>
      </c>
      <c r="C81">
        <v>3310.28972866609</v>
      </c>
      <c r="E81">
        <v>8736.0059999999994</v>
      </c>
      <c r="F81">
        <v>531968.77676229295</v>
      </c>
      <c r="G81">
        <v>-78336.400872291706</v>
      </c>
      <c r="H81">
        <v>453632.37588999799</v>
      </c>
      <c r="I81">
        <v>-78284.223611347697</v>
      </c>
      <c r="J81">
        <v>4538.1419788106105</v>
      </c>
      <c r="L81">
        <v>8736.0059999999994</v>
      </c>
      <c r="M81">
        <v>355135.96723733703</v>
      </c>
      <c r="N81">
        <v>182654.704527386</v>
      </c>
      <c r="O81">
        <v>537790.67176472303</v>
      </c>
      <c r="Q81">
        <v>8736.0059999999994</v>
      </c>
      <c r="R81">
        <v>147865.88749447101</v>
      </c>
      <c r="T81">
        <v>8736.0059999999994</v>
      </c>
      <c r="U81">
        <v>-10857.5514333176</v>
      </c>
    </row>
    <row r="82" spans="2:21" x14ac:dyDescent="0.25">
      <c r="B82">
        <v>8736.0059999999994</v>
      </c>
      <c r="C82">
        <v>3310.28972866609</v>
      </c>
      <c r="E82">
        <v>8737.0059999999994</v>
      </c>
      <c r="F82">
        <v>531968.77676229295</v>
      </c>
      <c r="G82">
        <v>-78299.860872291698</v>
      </c>
      <c r="H82">
        <v>453668.91588999802</v>
      </c>
      <c r="I82">
        <v>-78247.683611347704</v>
      </c>
      <c r="J82">
        <v>4538.1419788106105</v>
      </c>
      <c r="L82">
        <v>8737.0059999999994</v>
      </c>
      <c r="M82">
        <v>355175.165237337</v>
      </c>
      <c r="N82">
        <v>182675.61052738599</v>
      </c>
      <c r="O82">
        <v>537850.77576472296</v>
      </c>
      <c r="Q82">
        <v>8737.0059999999994</v>
      </c>
      <c r="R82">
        <v>147865.88749447101</v>
      </c>
      <c r="T82">
        <v>8737.0059999999994</v>
      </c>
      <c r="U82">
        <v>-10850.815433317601</v>
      </c>
    </row>
    <row r="83" spans="2:21" x14ac:dyDescent="0.25">
      <c r="B83">
        <v>8737.0059999999994</v>
      </c>
      <c r="C83">
        <v>3310.28972866609</v>
      </c>
      <c r="E83">
        <v>8738.0059999999994</v>
      </c>
      <c r="F83">
        <v>531968.77676229295</v>
      </c>
      <c r="G83">
        <v>-78266.320872291704</v>
      </c>
      <c r="H83">
        <v>453702.455889998</v>
      </c>
      <c r="I83">
        <v>-78214.143611347696</v>
      </c>
      <c r="J83">
        <v>4538.1419788106105</v>
      </c>
      <c r="L83">
        <v>8738.0059999999994</v>
      </c>
      <c r="M83">
        <v>355210.24423733703</v>
      </c>
      <c r="N83">
        <v>182696.516527386</v>
      </c>
      <c r="O83">
        <v>537906.76076472295</v>
      </c>
      <c r="Q83">
        <v>8738.0059999999994</v>
      </c>
      <c r="R83">
        <v>147865.88749447101</v>
      </c>
      <c r="T83">
        <v>8738.0059999999994</v>
      </c>
      <c r="U83">
        <v>-10844.574433317601</v>
      </c>
    </row>
    <row r="84" spans="2:21" x14ac:dyDescent="0.25">
      <c r="B84">
        <v>8738.0059999999994</v>
      </c>
      <c r="C84">
        <v>3310.28972866609</v>
      </c>
      <c r="E84">
        <v>8739.0059999999994</v>
      </c>
      <c r="F84">
        <v>531968.77676229295</v>
      </c>
      <c r="G84">
        <v>-78236.8008722917</v>
      </c>
      <c r="H84">
        <v>453731.97588999802</v>
      </c>
      <c r="I84">
        <v>-78184.623611347706</v>
      </c>
      <c r="J84">
        <v>4538.1419788106105</v>
      </c>
      <c r="L84">
        <v>8739.0059999999994</v>
      </c>
      <c r="M84">
        <v>355241.11923733703</v>
      </c>
      <c r="N84">
        <v>182717.42252738599</v>
      </c>
      <c r="O84">
        <v>537958.54176472302</v>
      </c>
      <c r="Q84">
        <v>8739.0059999999994</v>
      </c>
      <c r="R84">
        <v>147865.88749447101</v>
      </c>
      <c r="T84">
        <v>8739.0059999999994</v>
      </c>
      <c r="U84">
        <v>-10839.103433317599</v>
      </c>
    </row>
    <row r="85" spans="2:21" x14ac:dyDescent="0.25">
      <c r="B85">
        <v>8739.0059999999994</v>
      </c>
      <c r="C85">
        <v>3310.28972866609</v>
      </c>
      <c r="E85">
        <v>8740.0059999999994</v>
      </c>
      <c r="F85">
        <v>531968.77676229295</v>
      </c>
      <c r="G85">
        <v>-78207.840872291694</v>
      </c>
      <c r="H85">
        <v>453760.93588999799</v>
      </c>
      <c r="I85">
        <v>-78155.6636113477</v>
      </c>
      <c r="J85">
        <v>4538.1419788106105</v>
      </c>
      <c r="L85">
        <v>8740.0059999999994</v>
      </c>
      <c r="M85">
        <v>355272.92023733701</v>
      </c>
      <c r="N85">
        <v>182738.32852738601</v>
      </c>
      <c r="O85">
        <v>538011.24876472296</v>
      </c>
      <c r="Q85">
        <v>8740.0059999999994</v>
      </c>
      <c r="R85">
        <v>147865.88749447101</v>
      </c>
      <c r="T85">
        <v>8740.0059999999994</v>
      </c>
      <c r="U85">
        <v>-10833.824433317601</v>
      </c>
    </row>
    <row r="86" spans="2:21" x14ac:dyDescent="0.25">
      <c r="B86">
        <v>8740.0059999999994</v>
      </c>
      <c r="C86">
        <v>3310.28972866609</v>
      </c>
      <c r="E86">
        <v>8741.0059999999994</v>
      </c>
      <c r="F86">
        <v>531968.77676229295</v>
      </c>
      <c r="G86">
        <v>-78176.9408722917</v>
      </c>
      <c r="H86">
        <v>453791.83588999801</v>
      </c>
      <c r="I86">
        <v>-78124.763611347706</v>
      </c>
      <c r="J86">
        <v>4538.1419788106105</v>
      </c>
      <c r="L86">
        <v>8741.0059999999994</v>
      </c>
      <c r="M86">
        <v>355307.33623733697</v>
      </c>
      <c r="N86">
        <v>182759.234527386</v>
      </c>
      <c r="O86">
        <v>538066.570764723</v>
      </c>
      <c r="Q86">
        <v>8741.0059999999994</v>
      </c>
      <c r="R86">
        <v>147865.88749447101</v>
      </c>
      <c r="T86">
        <v>8741.0059999999994</v>
      </c>
      <c r="U86">
        <v>-10828.180433317601</v>
      </c>
    </row>
    <row r="87" spans="2:21" x14ac:dyDescent="0.25">
      <c r="B87">
        <v>8741.0059999999994</v>
      </c>
      <c r="C87">
        <v>3310.28972866609</v>
      </c>
      <c r="E87">
        <v>8742.0059999999994</v>
      </c>
      <c r="F87">
        <v>531968.77676229295</v>
      </c>
      <c r="G87">
        <v>-78140.030872291696</v>
      </c>
      <c r="H87">
        <v>453828.74588999798</v>
      </c>
      <c r="I87">
        <v>-78087.853611347702</v>
      </c>
      <c r="J87">
        <v>4538.1419788106105</v>
      </c>
      <c r="L87">
        <v>8742.0059999999994</v>
      </c>
      <c r="M87">
        <v>355349.87823733699</v>
      </c>
      <c r="N87">
        <v>182780.139527386</v>
      </c>
      <c r="O87">
        <v>538130.01776472304</v>
      </c>
      <c r="Q87">
        <v>8742.0059999999994</v>
      </c>
      <c r="R87">
        <v>147865.88749447101</v>
      </c>
      <c r="T87">
        <v>8742.0059999999994</v>
      </c>
      <c r="U87">
        <v>-10821.379433317599</v>
      </c>
    </row>
    <row r="88" spans="2:21" x14ac:dyDescent="0.25">
      <c r="B88">
        <v>8742.0059999999994</v>
      </c>
      <c r="C88">
        <v>3310.28972866609</v>
      </c>
      <c r="E88">
        <v>8743.0059999999994</v>
      </c>
      <c r="F88">
        <v>531968.77676229295</v>
      </c>
      <c r="G88">
        <v>-78094.8008722917</v>
      </c>
      <c r="H88">
        <v>453873.97588999802</v>
      </c>
      <c r="I88">
        <v>-78042.623611347706</v>
      </c>
      <c r="J88">
        <v>4538.1419788106105</v>
      </c>
      <c r="L88">
        <v>8743.0059999999994</v>
      </c>
      <c r="M88">
        <v>355403.79723733698</v>
      </c>
      <c r="N88">
        <v>182801.04552738601</v>
      </c>
      <c r="O88">
        <v>538204.842764723</v>
      </c>
      <c r="Q88">
        <v>8743.0059999999994</v>
      </c>
      <c r="R88">
        <v>147865.88749447101</v>
      </c>
      <c r="T88">
        <v>8743.0059999999994</v>
      </c>
      <c r="U88">
        <v>-10812.764433317599</v>
      </c>
    </row>
    <row r="89" spans="2:21" x14ac:dyDescent="0.25">
      <c r="B89">
        <v>8743.0059999999994</v>
      </c>
      <c r="C89">
        <v>3310.28972866609</v>
      </c>
      <c r="E89">
        <v>8744.0059999999994</v>
      </c>
      <c r="F89">
        <v>531968.77676229295</v>
      </c>
      <c r="G89">
        <v>-78038.470872291698</v>
      </c>
      <c r="H89">
        <v>453930.30588999798</v>
      </c>
      <c r="I89">
        <v>-77986.293611347704</v>
      </c>
      <c r="J89">
        <v>4538.1419788106105</v>
      </c>
      <c r="L89">
        <v>8744.0059999999994</v>
      </c>
      <c r="M89">
        <v>355473.00723733701</v>
      </c>
      <c r="N89">
        <v>182821.951527386</v>
      </c>
      <c r="O89">
        <v>538294.95876472304</v>
      </c>
      <c r="Q89">
        <v>8744.0059999999994</v>
      </c>
      <c r="R89">
        <v>147865.88749447101</v>
      </c>
      <c r="T89">
        <v>8744.0059999999994</v>
      </c>
      <c r="U89">
        <v>-10800.332433317601</v>
      </c>
    </row>
    <row r="90" spans="2:21" x14ac:dyDescent="0.25">
      <c r="B90">
        <v>8744.0059999999994</v>
      </c>
      <c r="C90">
        <v>3310.28972866609</v>
      </c>
      <c r="E90">
        <v>8745.0059999999994</v>
      </c>
      <c r="F90">
        <v>531968.77676229295</v>
      </c>
      <c r="G90">
        <v>-77979.160872291701</v>
      </c>
      <c r="H90">
        <v>453989.61588999798</v>
      </c>
      <c r="I90">
        <v>-77926.983611347707</v>
      </c>
      <c r="J90">
        <v>4538.1419788106105</v>
      </c>
      <c r="L90">
        <v>8745.0059999999994</v>
      </c>
      <c r="M90">
        <v>355546.01223733701</v>
      </c>
      <c r="N90">
        <v>182842.85752738599</v>
      </c>
      <c r="O90">
        <v>538388.869764723</v>
      </c>
      <c r="Q90">
        <v>8745.0059999999994</v>
      </c>
      <c r="R90">
        <v>147865.88749447101</v>
      </c>
      <c r="T90">
        <v>8745.0059999999994</v>
      </c>
      <c r="U90">
        <v>-10786.9924333176</v>
      </c>
    </row>
    <row r="91" spans="2:21" x14ac:dyDescent="0.25">
      <c r="B91">
        <v>8745.0059999999994</v>
      </c>
      <c r="C91">
        <v>3310.28972866609</v>
      </c>
      <c r="E91">
        <v>8746.0059999999994</v>
      </c>
      <c r="F91">
        <v>531968.77676229295</v>
      </c>
      <c r="G91">
        <v>-77920.340872291694</v>
      </c>
      <c r="H91">
        <v>454048.43588999799</v>
      </c>
      <c r="I91">
        <v>-77868.1636113477</v>
      </c>
      <c r="J91">
        <v>4538.1419788106105</v>
      </c>
      <c r="L91">
        <v>8746.0059999999994</v>
      </c>
      <c r="M91">
        <v>355618.94023733702</v>
      </c>
      <c r="N91">
        <v>182863.76352738601</v>
      </c>
      <c r="O91">
        <v>538482.70376472303</v>
      </c>
      <c r="Q91">
        <v>8746.0059999999994</v>
      </c>
      <c r="R91">
        <v>147865.88749447101</v>
      </c>
      <c r="T91">
        <v>8746.0059999999994</v>
      </c>
      <c r="U91">
        <v>-10774.0154333176</v>
      </c>
    </row>
    <row r="92" spans="2:21" x14ac:dyDescent="0.25">
      <c r="B92">
        <v>8746.0059999999994</v>
      </c>
      <c r="C92">
        <v>3310.28972866609</v>
      </c>
      <c r="E92">
        <v>8747.0059999999994</v>
      </c>
      <c r="F92">
        <v>531968.77676229295</v>
      </c>
      <c r="G92">
        <v>-77857.060872291695</v>
      </c>
      <c r="H92">
        <v>454111.71588999801</v>
      </c>
      <c r="I92">
        <v>-77804.883611347701</v>
      </c>
      <c r="J92">
        <v>4538.1419788106105</v>
      </c>
      <c r="L92">
        <v>8747.0059999999994</v>
      </c>
      <c r="M92">
        <v>355696.87923733698</v>
      </c>
      <c r="N92">
        <v>182884.669527386</v>
      </c>
      <c r="O92">
        <v>538581.54776472296</v>
      </c>
      <c r="Q92">
        <v>8747.0059999999994</v>
      </c>
      <c r="R92">
        <v>147865.88749447101</v>
      </c>
      <c r="T92">
        <v>8747.0059999999994</v>
      </c>
      <c r="U92">
        <v>-10760.0074333176</v>
      </c>
    </row>
    <row r="93" spans="2:21" x14ac:dyDescent="0.25">
      <c r="B93">
        <v>8747.0059999999994</v>
      </c>
      <c r="C93">
        <v>3310.28972866609</v>
      </c>
      <c r="E93">
        <v>8748.0059999999994</v>
      </c>
      <c r="F93">
        <v>531993.92876229296</v>
      </c>
      <c r="G93">
        <v>-77813.952872291702</v>
      </c>
      <c r="H93">
        <v>454179.97588999802</v>
      </c>
      <c r="I93">
        <v>-77761.775611347693</v>
      </c>
      <c r="J93">
        <v>4538.2429788106101</v>
      </c>
      <c r="L93">
        <v>8748.0059999999994</v>
      </c>
      <c r="M93">
        <v>355749.45823733701</v>
      </c>
      <c r="N93">
        <v>182905.57552738601</v>
      </c>
      <c r="O93">
        <v>538655.03376472299</v>
      </c>
      <c r="Q93">
        <v>8748.0059999999994</v>
      </c>
      <c r="R93">
        <v>147866.68049447099</v>
      </c>
      <c r="T93">
        <v>8748.0059999999994</v>
      </c>
      <c r="U93">
        <v>-10750.583433317601</v>
      </c>
    </row>
    <row r="94" spans="2:21" x14ac:dyDescent="0.25">
      <c r="B94">
        <v>8748.0059999999994</v>
      </c>
      <c r="C94">
        <v>3310.65772866609</v>
      </c>
      <c r="E94">
        <v>8749.0059999999994</v>
      </c>
      <c r="F94">
        <v>532006.69876229297</v>
      </c>
      <c r="G94">
        <v>-77758.752872291705</v>
      </c>
      <c r="H94">
        <v>454247.94588999799</v>
      </c>
      <c r="I94">
        <v>-77706.575611347696</v>
      </c>
      <c r="J94">
        <v>4538.2799788106104</v>
      </c>
      <c r="L94">
        <v>8749.0059999999994</v>
      </c>
      <c r="M94">
        <v>355816.41623733699</v>
      </c>
      <c r="N94">
        <v>182926.481527386</v>
      </c>
      <c r="O94">
        <v>538742.89776472305</v>
      </c>
      <c r="Q94">
        <v>8749.0059999999994</v>
      </c>
      <c r="R94">
        <v>147866.81049447099</v>
      </c>
      <c r="T94">
        <v>8749.0059999999994</v>
      </c>
      <c r="U94">
        <v>-10738.8844333176</v>
      </c>
    </row>
    <row r="95" spans="2:21" x14ac:dyDescent="0.25">
      <c r="B95">
        <v>8749.0059999999994</v>
      </c>
      <c r="C95">
        <v>3310.8457286660901</v>
      </c>
      <c r="E95">
        <v>8750.0059999999994</v>
      </c>
      <c r="F95">
        <v>532025.62976229296</v>
      </c>
      <c r="G95">
        <v>-77707.233872291705</v>
      </c>
      <c r="H95">
        <v>454318.39588999801</v>
      </c>
      <c r="I95">
        <v>-77655.056611347696</v>
      </c>
      <c r="J95">
        <v>4538.25597881061</v>
      </c>
      <c r="L95">
        <v>8750.0059999999994</v>
      </c>
      <c r="M95">
        <v>355878.83123733703</v>
      </c>
      <c r="N95">
        <v>182947.38752738599</v>
      </c>
      <c r="O95">
        <v>538826.217764723</v>
      </c>
      <c r="Q95">
        <v>8750.0059999999994</v>
      </c>
      <c r="R95">
        <v>147867.01149447099</v>
      </c>
      <c r="T95">
        <v>8750.0059999999994</v>
      </c>
      <c r="U95">
        <v>-10728.0154333176</v>
      </c>
    </row>
    <row r="96" spans="2:21" x14ac:dyDescent="0.25">
      <c r="B96">
        <v>8750.0059999999994</v>
      </c>
      <c r="C96">
        <v>3311.1147286660898</v>
      </c>
      <c r="E96">
        <v>8751.0059999999994</v>
      </c>
      <c r="F96">
        <v>532042.79276229301</v>
      </c>
      <c r="G96">
        <v>-77649.746872291696</v>
      </c>
      <c r="H96">
        <v>454393.04588999797</v>
      </c>
      <c r="I96">
        <v>-77597.569611347702</v>
      </c>
      <c r="J96">
        <v>4538.1999788106104</v>
      </c>
      <c r="L96">
        <v>8751.0059999999994</v>
      </c>
      <c r="M96">
        <v>355949.377237337</v>
      </c>
      <c r="N96">
        <v>182968.29252738599</v>
      </c>
      <c r="O96">
        <v>538917.67076472298</v>
      </c>
      <c r="Q96">
        <v>8751.0059999999994</v>
      </c>
      <c r="R96">
        <v>147867.184494471</v>
      </c>
      <c r="T96">
        <v>8751.0059999999994</v>
      </c>
      <c r="U96">
        <v>-10716.770433317601</v>
      </c>
    </row>
    <row r="97" spans="2:21" x14ac:dyDescent="0.25">
      <c r="B97">
        <v>8751.0059999999994</v>
      </c>
      <c r="C97">
        <v>3311.3447286660898</v>
      </c>
      <c r="E97">
        <v>8752.0059999999994</v>
      </c>
      <c r="F97">
        <v>532059.95576229296</v>
      </c>
      <c r="G97">
        <v>-77577.939872291696</v>
      </c>
      <c r="H97">
        <v>454482.015889998</v>
      </c>
      <c r="I97">
        <v>-77525.762611347702</v>
      </c>
      <c r="J97">
        <v>4538.1659788106099</v>
      </c>
      <c r="L97">
        <v>8752.0059999999994</v>
      </c>
      <c r="M97">
        <v>356038.997237337</v>
      </c>
      <c r="N97">
        <v>182989.198527386</v>
      </c>
      <c r="O97">
        <v>539028.195764723</v>
      </c>
      <c r="Q97">
        <v>8752.0059999999994</v>
      </c>
      <c r="R97">
        <v>147867.307494471</v>
      </c>
      <c r="T97">
        <v>8752.0059999999994</v>
      </c>
      <c r="U97">
        <v>-10702.726433317601</v>
      </c>
    </row>
    <row r="98" spans="2:21" x14ac:dyDescent="0.25">
      <c r="B98">
        <v>8752.0059999999994</v>
      </c>
      <c r="C98">
        <v>3311.5377286660901</v>
      </c>
      <c r="E98">
        <v>8753.0059999999994</v>
      </c>
      <c r="F98">
        <v>532077.11876229302</v>
      </c>
      <c r="G98">
        <v>-77485.532872291704</v>
      </c>
      <c r="H98">
        <v>454591.58588999801</v>
      </c>
      <c r="I98">
        <v>-77433.355611347695</v>
      </c>
      <c r="J98">
        <v>4538.1279788106103</v>
      </c>
      <c r="L98">
        <v>8753.0059999999994</v>
      </c>
      <c r="M98">
        <v>356154.464237337</v>
      </c>
      <c r="N98">
        <v>183010.10452738599</v>
      </c>
      <c r="O98">
        <v>539164.56976472295</v>
      </c>
      <c r="Q98">
        <v>8753.0059999999994</v>
      </c>
      <c r="R98">
        <v>147867.39749447099</v>
      </c>
      <c r="T98">
        <v>8753.0059999999994</v>
      </c>
      <c r="U98">
        <v>-10684.1844333176</v>
      </c>
    </row>
    <row r="99" spans="2:21" x14ac:dyDescent="0.25">
      <c r="B99">
        <v>8753.0059999999994</v>
      </c>
      <c r="C99">
        <v>3311.69372866609</v>
      </c>
      <c r="E99">
        <v>8754.0059999999994</v>
      </c>
      <c r="F99">
        <v>532094.28076229303</v>
      </c>
      <c r="G99">
        <v>-77394.464872291705</v>
      </c>
      <c r="H99">
        <v>454699.81588999799</v>
      </c>
      <c r="I99">
        <v>-77342.287611347696</v>
      </c>
      <c r="J99">
        <v>4538.13097881061</v>
      </c>
      <c r="L99">
        <v>8754.0059999999994</v>
      </c>
      <c r="M99">
        <v>356266.28723733698</v>
      </c>
      <c r="N99">
        <v>183031.01052738601</v>
      </c>
      <c r="O99">
        <v>539297.29776472296</v>
      </c>
      <c r="Q99">
        <v>8754.0059999999994</v>
      </c>
      <c r="R99">
        <v>147867.53849447099</v>
      </c>
      <c r="T99">
        <v>8754.0059999999994</v>
      </c>
      <c r="U99">
        <v>-10666.582433317601</v>
      </c>
    </row>
    <row r="100" spans="2:21" x14ac:dyDescent="0.25">
      <c r="B100">
        <v>8754.0059999999994</v>
      </c>
      <c r="C100">
        <v>3311.8527286660901</v>
      </c>
      <c r="E100">
        <v>8755.0059999999994</v>
      </c>
      <c r="F100">
        <v>532111.44376229297</v>
      </c>
      <c r="G100">
        <v>-77326.007872291695</v>
      </c>
      <c r="H100">
        <v>454785.43588999799</v>
      </c>
      <c r="I100">
        <v>-77273.830611347701</v>
      </c>
      <c r="J100">
        <v>4538.1349788106099</v>
      </c>
      <c r="L100">
        <v>8755.0059999999994</v>
      </c>
      <c r="M100">
        <v>356348.20223733701</v>
      </c>
      <c r="N100">
        <v>183051.916527386</v>
      </c>
      <c r="O100">
        <v>539400.11876472295</v>
      </c>
      <c r="Q100">
        <v>8755.0059999999994</v>
      </c>
      <c r="R100">
        <v>147867.589494471</v>
      </c>
      <c r="T100">
        <v>8755.0059999999994</v>
      </c>
      <c r="U100">
        <v>-10654.7684333176</v>
      </c>
    </row>
    <row r="101" spans="2:21" x14ac:dyDescent="0.25">
      <c r="B101">
        <v>8755.0059999999994</v>
      </c>
      <c r="C101">
        <v>3312.0527286660899</v>
      </c>
      <c r="E101">
        <v>8756.0059999999994</v>
      </c>
      <c r="F101">
        <v>532128.60676229303</v>
      </c>
      <c r="G101">
        <v>-77251.840872291694</v>
      </c>
      <c r="H101">
        <v>454876.765889998</v>
      </c>
      <c r="I101">
        <v>-77199.6636113477</v>
      </c>
      <c r="J101">
        <v>4538.0379788106102</v>
      </c>
      <c r="L101">
        <v>8756.0059999999994</v>
      </c>
      <c r="M101">
        <v>356434.90223733702</v>
      </c>
      <c r="N101">
        <v>183072.82252738599</v>
      </c>
      <c r="O101">
        <v>539507.72476472298</v>
      </c>
      <c r="Q101">
        <v>8756.0059999999994</v>
      </c>
      <c r="R101">
        <v>147867.706494471</v>
      </c>
      <c r="T101">
        <v>8756.0059999999994</v>
      </c>
      <c r="U101">
        <v>-10642.335433317599</v>
      </c>
    </row>
    <row r="102" spans="2:21" x14ac:dyDescent="0.25">
      <c r="B102">
        <v>8756.0059999999994</v>
      </c>
      <c r="C102">
        <v>3312.24072866609</v>
      </c>
      <c r="E102">
        <v>8757.0059999999994</v>
      </c>
      <c r="F102">
        <v>532139.90376229305</v>
      </c>
      <c r="G102">
        <v>-77188.197872291697</v>
      </c>
      <c r="H102">
        <v>454951.705889998</v>
      </c>
      <c r="I102">
        <v>-77136.020611347703</v>
      </c>
      <c r="J102">
        <v>4538.0169788106105</v>
      </c>
      <c r="L102">
        <v>8757.0059999999994</v>
      </c>
      <c r="M102">
        <v>356508.16123733699</v>
      </c>
      <c r="N102">
        <v>183093.728527386</v>
      </c>
      <c r="O102">
        <v>539601.88976472302</v>
      </c>
      <c r="Q102">
        <v>8757.0059999999994</v>
      </c>
      <c r="R102">
        <v>147867.755494471</v>
      </c>
      <c r="T102">
        <v>8757.0059999999994</v>
      </c>
      <c r="U102">
        <v>-10631.9614333176</v>
      </c>
    </row>
    <row r="103" spans="2:21" x14ac:dyDescent="0.25">
      <c r="B103">
        <v>8757.0059999999994</v>
      </c>
      <c r="C103">
        <v>3312.3917286660899</v>
      </c>
      <c r="E103">
        <v>8758.0059999999994</v>
      </c>
      <c r="F103">
        <v>532139.90376229305</v>
      </c>
      <c r="G103">
        <v>-77119.697872291697</v>
      </c>
      <c r="H103">
        <v>455020.205889998</v>
      </c>
      <c r="I103">
        <v>-77067.520611347703</v>
      </c>
      <c r="J103">
        <v>4538.0169788106105</v>
      </c>
      <c r="L103">
        <v>8758.0059999999994</v>
      </c>
      <c r="M103">
        <v>356584.812237337</v>
      </c>
      <c r="N103">
        <v>183114.63452738599</v>
      </c>
      <c r="O103">
        <v>539699.44676472305</v>
      </c>
      <c r="Q103">
        <v>8758.0059999999994</v>
      </c>
      <c r="R103">
        <v>147867.755494471</v>
      </c>
      <c r="T103">
        <v>8758.0059999999994</v>
      </c>
      <c r="U103">
        <v>-10620.8314333176</v>
      </c>
    </row>
    <row r="104" spans="2:21" x14ac:dyDescent="0.25">
      <c r="B104">
        <v>8758.0059999999994</v>
      </c>
      <c r="C104">
        <v>3312.3917286660899</v>
      </c>
      <c r="E104">
        <v>8759.0059999999994</v>
      </c>
      <c r="F104">
        <v>532139.90376229305</v>
      </c>
      <c r="G104">
        <v>-77059.917872291699</v>
      </c>
      <c r="H104">
        <v>455079.98588999797</v>
      </c>
      <c r="I104">
        <v>-77007.710611347706</v>
      </c>
      <c r="J104">
        <v>4538.0169788106105</v>
      </c>
      <c r="L104">
        <v>8759.0059999999994</v>
      </c>
      <c r="M104">
        <v>356645.98423733702</v>
      </c>
      <c r="N104">
        <v>183135.53952738599</v>
      </c>
      <c r="O104">
        <v>539781.52376472298</v>
      </c>
      <c r="Q104">
        <v>8759.0059999999994</v>
      </c>
      <c r="R104">
        <v>147867.755494471</v>
      </c>
      <c r="T104">
        <v>8759.0059999999994</v>
      </c>
      <c r="U104">
        <v>-10611.1954333176</v>
      </c>
    </row>
    <row r="105" spans="2:21" x14ac:dyDescent="0.25">
      <c r="B105">
        <v>8759.0059999999994</v>
      </c>
      <c r="C105">
        <v>3312.3917286660899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F5EB-9A99-4145-B94A-2E4E90AF55B0}">
  <dimension ref="A1:S103"/>
  <sheetViews>
    <sheetView workbookViewId="0">
      <selection activeCell="A8" sqref="A8"/>
    </sheetView>
  </sheetViews>
  <sheetFormatPr defaultRowHeight="15" x14ac:dyDescent="0.25"/>
  <cols>
    <col min="1" max="1" width="21.42578125" bestFit="1" customWidth="1"/>
  </cols>
  <sheetData>
    <row r="1" spans="1:19" x14ac:dyDescent="0.25">
      <c r="A1" t="s">
        <v>277</v>
      </c>
    </row>
    <row r="2" spans="1:19" x14ac:dyDescent="0.25">
      <c r="A2" s="1">
        <v>230112.91800000001</v>
      </c>
    </row>
    <row r="3" spans="1:19" x14ac:dyDescent="0.25">
      <c r="A3" t="s">
        <v>278</v>
      </c>
      <c r="E3" t="s">
        <v>275</v>
      </c>
      <c r="H3" t="s">
        <v>62</v>
      </c>
      <c r="I3" t="s">
        <v>63</v>
      </c>
      <c r="J3" t="s">
        <v>64</v>
      </c>
      <c r="M3" t="s">
        <v>39</v>
      </c>
      <c r="N3" t="s">
        <v>40</v>
      </c>
      <c r="O3" t="s">
        <v>41</v>
      </c>
      <c r="P3" t="s">
        <v>61</v>
      </c>
      <c r="S3" t="s">
        <v>42</v>
      </c>
    </row>
    <row r="4" spans="1:19" x14ac:dyDescent="0.25">
      <c r="A4" s="1">
        <v>4231.9110000000001</v>
      </c>
      <c r="D4">
        <v>8661</v>
      </c>
      <c r="E4">
        <v>5493.0263744890199</v>
      </c>
      <c r="G4">
        <v>8660.0059999999994</v>
      </c>
      <c r="H4">
        <v>6691.72336277267</v>
      </c>
      <c r="I4">
        <v>34654.635788585801</v>
      </c>
      <c r="J4">
        <v>51981.953682878702</v>
      </c>
      <c r="L4">
        <v>8660.0059999999994</v>
      </c>
      <c r="M4">
        <v>410132.85256842303</v>
      </c>
      <c r="N4">
        <v>41879.177931504797</v>
      </c>
      <c r="O4">
        <v>593072.13580815203</v>
      </c>
      <c r="P4">
        <v>141060.10530822299</v>
      </c>
      <c r="R4">
        <v>8660.0059999999994</v>
      </c>
      <c r="S4">
        <v>63786.901561695297</v>
      </c>
    </row>
    <row r="5" spans="1:19" x14ac:dyDescent="0.25">
      <c r="A5" t="s">
        <v>279</v>
      </c>
      <c r="D5">
        <v>8662</v>
      </c>
      <c r="E5">
        <v>5493.4813744890198</v>
      </c>
      <c r="G5">
        <v>8661.0059999999994</v>
      </c>
      <c r="H5">
        <v>6691.72336277267</v>
      </c>
      <c r="I5">
        <v>34654.635788585801</v>
      </c>
      <c r="J5">
        <v>51981.953682878702</v>
      </c>
      <c r="L5">
        <v>8661.0059999999994</v>
      </c>
      <c r="M5">
        <v>410174.29056842299</v>
      </c>
      <c r="N5">
        <v>41884.012931504803</v>
      </c>
      <c r="O5">
        <v>593134.69580815197</v>
      </c>
      <c r="P5">
        <v>141076.392308223</v>
      </c>
      <c r="R5">
        <v>8661.0059999999994</v>
      </c>
      <c r="S5">
        <v>63798.044561695198</v>
      </c>
    </row>
    <row r="6" spans="1:19" x14ac:dyDescent="0.25">
      <c r="A6" s="1">
        <v>6768.8710000000001</v>
      </c>
      <c r="D6">
        <v>8663</v>
      </c>
      <c r="E6">
        <v>5494.1183744890204</v>
      </c>
      <c r="G6">
        <v>8662.0059999999994</v>
      </c>
      <c r="H6">
        <v>6691.72336277267</v>
      </c>
      <c r="I6">
        <v>34654.635788585801</v>
      </c>
      <c r="J6">
        <v>51981.953682878702</v>
      </c>
      <c r="L6">
        <v>8662.0059999999994</v>
      </c>
      <c r="M6">
        <v>410194.273568423</v>
      </c>
      <c r="N6">
        <v>41888.848931504799</v>
      </c>
      <c r="O6">
        <v>593175.80080815195</v>
      </c>
      <c r="P6">
        <v>141092.67930822301</v>
      </c>
      <c r="R6">
        <v>8662.0059999999994</v>
      </c>
      <c r="S6">
        <v>63803.608561695299</v>
      </c>
    </row>
    <row r="7" spans="1:19" x14ac:dyDescent="0.25">
      <c r="A7" t="s">
        <v>274</v>
      </c>
      <c r="D7">
        <v>8664</v>
      </c>
      <c r="E7">
        <v>5494.9433744890202</v>
      </c>
      <c r="G7">
        <v>8663.0059999999994</v>
      </c>
      <c r="H7">
        <v>6691.72336277267</v>
      </c>
      <c r="I7">
        <v>34654.635788585801</v>
      </c>
      <c r="J7">
        <v>51981.953682878702</v>
      </c>
      <c r="L7">
        <v>8663.0059999999994</v>
      </c>
      <c r="M7">
        <v>410202.01456842298</v>
      </c>
      <c r="N7">
        <v>41893.683931504798</v>
      </c>
      <c r="O7">
        <v>593204.66480815201</v>
      </c>
      <c r="P7">
        <v>141108.96530822301</v>
      </c>
      <c r="R7">
        <v>8663.0059999999994</v>
      </c>
      <c r="S7">
        <v>63805.2395616953</v>
      </c>
    </row>
    <row r="8" spans="1:19" x14ac:dyDescent="0.25">
      <c r="A8" s="1">
        <v>5565.6689999999999</v>
      </c>
      <c r="D8">
        <v>8665</v>
      </c>
      <c r="E8">
        <v>5495.8503744890204</v>
      </c>
      <c r="G8">
        <v>8664.0059999999994</v>
      </c>
      <c r="H8">
        <v>6691.72336277267</v>
      </c>
      <c r="I8">
        <v>34654.635788585801</v>
      </c>
      <c r="J8">
        <v>51981.953682878702</v>
      </c>
      <c r="L8">
        <v>8664.0059999999994</v>
      </c>
      <c r="M8">
        <v>410205.69956842298</v>
      </c>
      <c r="N8">
        <v>41898.518931504797</v>
      </c>
      <c r="O8">
        <v>593229.47080815199</v>
      </c>
      <c r="P8">
        <v>141125.25230822299</v>
      </c>
      <c r="R8">
        <v>8664.0059999999994</v>
      </c>
      <c r="S8">
        <v>63805.969561695201</v>
      </c>
    </row>
    <row r="9" spans="1:19" x14ac:dyDescent="0.25">
      <c r="D9">
        <v>8666</v>
      </c>
      <c r="E9">
        <v>5496.8503744890204</v>
      </c>
      <c r="G9">
        <v>8665.0059999999994</v>
      </c>
      <c r="H9">
        <v>6692.87036277267</v>
      </c>
      <c r="I9">
        <v>34654.635788585801</v>
      </c>
      <c r="J9">
        <v>51981.953682878702</v>
      </c>
      <c r="L9">
        <v>8665.0059999999994</v>
      </c>
      <c r="M9">
        <v>410205.69956842298</v>
      </c>
      <c r="N9">
        <v>41903.3549315048</v>
      </c>
      <c r="O9">
        <v>593250.59380815201</v>
      </c>
      <c r="P9">
        <v>141141.539308223</v>
      </c>
      <c r="R9">
        <v>8665.0059999999994</v>
      </c>
      <c r="S9">
        <v>63804.723561695297</v>
      </c>
    </row>
    <row r="10" spans="1:19" x14ac:dyDescent="0.25">
      <c r="A10">
        <f>A8/8760 *100</f>
        <v>63.535034246575336</v>
      </c>
      <c r="D10">
        <v>8667</v>
      </c>
      <c r="E10">
        <v>5497.8503744890204</v>
      </c>
      <c r="G10">
        <v>8666.0059999999994</v>
      </c>
      <c r="H10">
        <v>6694.69636277267</v>
      </c>
      <c r="I10">
        <v>34654.635788585801</v>
      </c>
      <c r="J10">
        <v>51981.953682878702</v>
      </c>
      <c r="L10">
        <v>8666.0059999999994</v>
      </c>
      <c r="M10">
        <v>410205.69956842298</v>
      </c>
      <c r="N10">
        <v>41908.189931504799</v>
      </c>
      <c r="O10">
        <v>593271.71580815199</v>
      </c>
      <c r="P10">
        <v>141157.82630822301</v>
      </c>
      <c r="R10">
        <v>8666.0059999999994</v>
      </c>
      <c r="S10">
        <v>63802.767561695298</v>
      </c>
    </row>
    <row r="11" spans="1:19" x14ac:dyDescent="0.25">
      <c r="D11">
        <v>8668</v>
      </c>
      <c r="E11">
        <v>5498.8503744890204</v>
      </c>
      <c r="G11">
        <v>8667.0059999999994</v>
      </c>
      <c r="H11">
        <v>6697.0273627726701</v>
      </c>
      <c r="I11">
        <v>34654.635788585801</v>
      </c>
      <c r="J11">
        <v>51981.953682878702</v>
      </c>
      <c r="L11">
        <v>8667.0059999999994</v>
      </c>
      <c r="M11">
        <v>410205.69956842298</v>
      </c>
      <c r="N11">
        <v>41913.025931504802</v>
      </c>
      <c r="O11">
        <v>593292.83780815196</v>
      </c>
      <c r="P11">
        <v>141174.11330822299</v>
      </c>
      <c r="R11">
        <v>8667.0059999999994</v>
      </c>
      <c r="S11">
        <v>63800.190561695199</v>
      </c>
    </row>
    <row r="12" spans="1:19" x14ac:dyDescent="0.25">
      <c r="D12">
        <v>8669</v>
      </c>
      <c r="E12">
        <v>5499.8503744890204</v>
      </c>
      <c r="G12">
        <v>8668.0059999999994</v>
      </c>
      <c r="H12">
        <v>6698.5013627726703</v>
      </c>
      <c r="I12">
        <v>34654.638788585798</v>
      </c>
      <c r="J12">
        <v>51981.957682878703</v>
      </c>
      <c r="L12">
        <v>8668.0059999999994</v>
      </c>
      <c r="M12">
        <v>410205.69656842301</v>
      </c>
      <c r="N12">
        <v>41917.860931504802</v>
      </c>
      <c r="O12">
        <v>593313.95780815196</v>
      </c>
      <c r="P12">
        <v>141190.400308223</v>
      </c>
      <c r="R12">
        <v>8668.0059999999994</v>
      </c>
      <c r="S12">
        <v>63797.206561695297</v>
      </c>
    </row>
    <row r="13" spans="1:19" x14ac:dyDescent="0.25">
      <c r="D13">
        <v>8670</v>
      </c>
      <c r="E13">
        <v>5500.8503744890204</v>
      </c>
      <c r="G13">
        <v>8669.0059999999994</v>
      </c>
      <c r="H13">
        <v>6698.5493627726701</v>
      </c>
      <c r="I13">
        <v>34654.638788585798</v>
      </c>
      <c r="J13">
        <v>51981.957682878703</v>
      </c>
      <c r="L13">
        <v>8669.0059999999994</v>
      </c>
      <c r="M13">
        <v>410205.69656842301</v>
      </c>
      <c r="N13">
        <v>41922.695931504801</v>
      </c>
      <c r="O13">
        <v>593335.07980815205</v>
      </c>
      <c r="P13">
        <v>141206.686308223</v>
      </c>
      <c r="R13">
        <v>8669.0059999999994</v>
      </c>
      <c r="S13">
        <v>63794.241561695198</v>
      </c>
    </row>
    <row r="14" spans="1:19" x14ac:dyDescent="0.25">
      <c r="D14">
        <v>8671</v>
      </c>
      <c r="E14">
        <v>5501.8503744890204</v>
      </c>
      <c r="G14">
        <v>8670.0059999999994</v>
      </c>
      <c r="H14">
        <v>6698.5633627726702</v>
      </c>
      <c r="I14">
        <v>34654.638788585798</v>
      </c>
      <c r="J14">
        <v>51981.957682878703</v>
      </c>
      <c r="L14">
        <v>8670.0059999999994</v>
      </c>
      <c r="M14">
        <v>410205.69656842301</v>
      </c>
      <c r="N14">
        <v>41927.531931504796</v>
      </c>
      <c r="O14">
        <v>593356.20180815202</v>
      </c>
      <c r="P14">
        <v>141222.97330822301</v>
      </c>
      <c r="R14">
        <v>8670.0059999999994</v>
      </c>
      <c r="S14">
        <v>63791.692561695199</v>
      </c>
    </row>
    <row r="15" spans="1:19" x14ac:dyDescent="0.25">
      <c r="D15">
        <v>8672</v>
      </c>
      <c r="E15">
        <v>5502.8503744890204</v>
      </c>
      <c r="G15">
        <v>8671.0059999999994</v>
      </c>
      <c r="H15">
        <v>6698.5903627726702</v>
      </c>
      <c r="I15">
        <v>34654.638788585798</v>
      </c>
      <c r="J15">
        <v>51981.957682878703</v>
      </c>
      <c r="L15">
        <v>8671.0059999999994</v>
      </c>
      <c r="M15">
        <v>410205.69656842301</v>
      </c>
      <c r="N15">
        <v>41932.366931504803</v>
      </c>
      <c r="O15">
        <v>593377.323808152</v>
      </c>
      <c r="P15">
        <v>141239.26030822299</v>
      </c>
      <c r="R15">
        <v>8671.0059999999994</v>
      </c>
      <c r="S15">
        <v>63789.8815616953</v>
      </c>
    </row>
    <row r="16" spans="1:19" x14ac:dyDescent="0.25">
      <c r="D16">
        <v>8673</v>
      </c>
      <c r="E16">
        <v>5503.8503744890204</v>
      </c>
      <c r="G16">
        <v>8672.0059999999994</v>
      </c>
      <c r="H16">
        <v>6698.5903627726702</v>
      </c>
      <c r="I16">
        <v>34654.638788585798</v>
      </c>
      <c r="J16">
        <v>51981.957682878703</v>
      </c>
      <c r="L16">
        <v>8672.0059999999994</v>
      </c>
      <c r="M16">
        <v>410205.73156842298</v>
      </c>
      <c r="N16">
        <v>41937.201931504802</v>
      </c>
      <c r="O16">
        <v>593398.480808152</v>
      </c>
      <c r="P16">
        <v>141255.547308223</v>
      </c>
      <c r="R16">
        <v>8672.0059999999994</v>
      </c>
      <c r="S16">
        <v>63789.8895616952</v>
      </c>
    </row>
    <row r="17" spans="4:19" x14ac:dyDescent="0.25">
      <c r="D17">
        <v>8674</v>
      </c>
      <c r="E17">
        <v>5504.63837448902</v>
      </c>
      <c r="G17">
        <v>8673.0059999999994</v>
      </c>
      <c r="H17">
        <v>6698.5903627726702</v>
      </c>
      <c r="I17">
        <v>34654.638788585798</v>
      </c>
      <c r="J17">
        <v>51981.957682878703</v>
      </c>
      <c r="L17">
        <v>8673.0059999999994</v>
      </c>
      <c r="M17">
        <v>410216.55256842298</v>
      </c>
      <c r="N17">
        <v>41942.037931504798</v>
      </c>
      <c r="O17">
        <v>593430.42380815197</v>
      </c>
      <c r="P17">
        <v>141271.83430822301</v>
      </c>
      <c r="R17">
        <v>8673.0059999999994</v>
      </c>
      <c r="S17">
        <v>63792.274561695202</v>
      </c>
    </row>
    <row r="18" spans="4:19" x14ac:dyDescent="0.25">
      <c r="D18">
        <v>8675</v>
      </c>
      <c r="E18">
        <v>5505.3643744890196</v>
      </c>
      <c r="G18">
        <v>8674.0059999999994</v>
      </c>
      <c r="H18">
        <v>6698.5903627726702</v>
      </c>
      <c r="I18">
        <v>34654.650788585801</v>
      </c>
      <c r="J18">
        <v>51981.976682878703</v>
      </c>
      <c r="L18">
        <v>8674.0059999999994</v>
      </c>
      <c r="M18">
        <v>410232.36956842302</v>
      </c>
      <c r="N18">
        <v>41946.872931504797</v>
      </c>
      <c r="O18">
        <v>593467.36380815203</v>
      </c>
      <c r="P18">
        <v>141288.12030822301</v>
      </c>
      <c r="R18">
        <v>8674.0059999999994</v>
      </c>
      <c r="S18">
        <v>63796.0545616952</v>
      </c>
    </row>
    <row r="19" spans="4:19" x14ac:dyDescent="0.25">
      <c r="D19">
        <v>8676</v>
      </c>
      <c r="E19">
        <v>5506.1513744890199</v>
      </c>
      <c r="G19">
        <v>8675.0059999999994</v>
      </c>
      <c r="H19">
        <v>6698.5903627726702</v>
      </c>
      <c r="I19">
        <v>34654.750788585799</v>
      </c>
      <c r="J19">
        <v>51982.125682878701</v>
      </c>
      <c r="L19">
        <v>8675.0059999999994</v>
      </c>
      <c r="M19">
        <v>410246.27756842301</v>
      </c>
      <c r="N19">
        <v>41951.7089315048</v>
      </c>
      <c r="O19">
        <v>593502.39380815194</v>
      </c>
      <c r="P19">
        <v>141304.40730822299</v>
      </c>
      <c r="R19">
        <v>8675.0059999999994</v>
      </c>
      <c r="S19">
        <v>63799.214561695298</v>
      </c>
    </row>
    <row r="20" spans="4:19" x14ac:dyDescent="0.25">
      <c r="D20">
        <v>8677</v>
      </c>
      <c r="E20">
        <v>5507.0393744890198</v>
      </c>
      <c r="G20">
        <v>8676.0059999999994</v>
      </c>
      <c r="H20">
        <v>6698.5903627726702</v>
      </c>
      <c r="I20">
        <v>34654.852788585798</v>
      </c>
      <c r="J20">
        <v>51982.279682878703</v>
      </c>
      <c r="L20">
        <v>8676.0059999999994</v>
      </c>
      <c r="M20">
        <v>410253.04756842298</v>
      </c>
      <c r="N20">
        <v>41956.543931504799</v>
      </c>
      <c r="O20">
        <v>593530.28580815205</v>
      </c>
      <c r="P20">
        <v>141320.694308223</v>
      </c>
      <c r="R20">
        <v>8676.0059999999994</v>
      </c>
      <c r="S20">
        <v>63800.901561695297</v>
      </c>
    </row>
    <row r="21" spans="4:19" x14ac:dyDescent="0.25">
      <c r="D21">
        <v>8678</v>
      </c>
      <c r="E21">
        <v>5507.8953744890196</v>
      </c>
      <c r="G21">
        <v>8677.0059999999994</v>
      </c>
      <c r="H21">
        <v>6698.5903627726702</v>
      </c>
      <c r="I21">
        <v>34655.024788585797</v>
      </c>
      <c r="J21">
        <v>51982.537682878698</v>
      </c>
      <c r="L21">
        <v>8677.0059999999994</v>
      </c>
      <c r="M21">
        <v>410261.86956842302</v>
      </c>
      <c r="N21">
        <v>41961.378931504798</v>
      </c>
      <c r="O21">
        <v>593560.22980815195</v>
      </c>
      <c r="P21">
        <v>141336.98130822301</v>
      </c>
      <c r="R21">
        <v>8677.0059999999994</v>
      </c>
      <c r="S21">
        <v>63803.010561695199</v>
      </c>
    </row>
    <row r="22" spans="4:19" x14ac:dyDescent="0.25">
      <c r="D22">
        <v>8679</v>
      </c>
      <c r="E22">
        <v>5508.7613744890205</v>
      </c>
      <c r="G22">
        <v>8678.0059999999994</v>
      </c>
      <c r="H22">
        <v>6698.5903627726702</v>
      </c>
      <c r="I22">
        <v>34655.168788585797</v>
      </c>
      <c r="J22">
        <v>51982.753682878698</v>
      </c>
      <c r="L22">
        <v>8678.0059999999994</v>
      </c>
      <c r="M22">
        <v>410270.27256842301</v>
      </c>
      <c r="N22">
        <v>41966.214931504801</v>
      </c>
      <c r="O22">
        <v>593589.75580815203</v>
      </c>
      <c r="P22">
        <v>141353.26830822299</v>
      </c>
      <c r="R22">
        <v>8678.0059999999994</v>
      </c>
      <c r="S22">
        <v>63804.7645616952</v>
      </c>
    </row>
    <row r="23" spans="4:19" x14ac:dyDescent="0.25">
      <c r="D23">
        <v>8680</v>
      </c>
      <c r="E23">
        <v>5509.4813744890198</v>
      </c>
      <c r="G23">
        <v>8679.0059999999994</v>
      </c>
      <c r="H23">
        <v>6698.5903627726702</v>
      </c>
      <c r="I23">
        <v>34655.168788585797</v>
      </c>
      <c r="J23">
        <v>51982.753682878698</v>
      </c>
      <c r="L23">
        <v>8679.0059999999994</v>
      </c>
      <c r="M23">
        <v>410290.28056842298</v>
      </c>
      <c r="N23">
        <v>41971.0499315048</v>
      </c>
      <c r="O23">
        <v>593630.88480815198</v>
      </c>
      <c r="P23">
        <v>141369.55430822301</v>
      </c>
      <c r="R23">
        <v>8679.0059999999994</v>
      </c>
      <c r="S23">
        <v>63808.366561695198</v>
      </c>
    </row>
    <row r="24" spans="4:19" x14ac:dyDescent="0.25">
      <c r="D24">
        <v>8681</v>
      </c>
      <c r="E24">
        <v>5510.1133744890203</v>
      </c>
      <c r="G24">
        <v>8680.0059999999994</v>
      </c>
      <c r="H24">
        <v>6698.5903627726702</v>
      </c>
      <c r="I24">
        <v>34655.168788585797</v>
      </c>
      <c r="J24">
        <v>51982.753682878698</v>
      </c>
      <c r="L24">
        <v>8680.0059999999994</v>
      </c>
      <c r="M24">
        <v>410326.73856842302</v>
      </c>
      <c r="N24">
        <v>41975.884931504799</v>
      </c>
      <c r="O24">
        <v>593688.46580815199</v>
      </c>
      <c r="P24">
        <v>141385.841308223</v>
      </c>
      <c r="R24">
        <v>8680.0059999999994</v>
      </c>
      <c r="S24">
        <v>63813.613561695201</v>
      </c>
    </row>
    <row r="25" spans="4:19" x14ac:dyDescent="0.25">
      <c r="D25">
        <v>8682</v>
      </c>
      <c r="E25">
        <v>5510.6103744890197</v>
      </c>
      <c r="G25">
        <v>8681.0059999999994</v>
      </c>
      <c r="H25">
        <v>6698.5903627726702</v>
      </c>
      <c r="I25">
        <v>34655.168788585797</v>
      </c>
      <c r="J25">
        <v>51982.753682878698</v>
      </c>
      <c r="L25">
        <v>8681.0059999999994</v>
      </c>
      <c r="M25">
        <v>410390.827568423</v>
      </c>
      <c r="N25">
        <v>41980.720931504802</v>
      </c>
      <c r="O25">
        <v>593773.676808152</v>
      </c>
      <c r="P25">
        <v>141402.12830822301</v>
      </c>
      <c r="R25">
        <v>8681.0059999999994</v>
      </c>
      <c r="S25">
        <v>63823.563561695199</v>
      </c>
    </row>
    <row r="26" spans="4:19" x14ac:dyDescent="0.25">
      <c r="D26">
        <v>8683</v>
      </c>
      <c r="E26">
        <v>5511.0703744890197</v>
      </c>
      <c r="G26">
        <v>8682.0059999999994</v>
      </c>
      <c r="H26">
        <v>6698.5903627726702</v>
      </c>
      <c r="I26">
        <v>34655.168788585797</v>
      </c>
      <c r="J26">
        <v>51982.753682878698</v>
      </c>
      <c r="L26">
        <v>8682.0059999999994</v>
      </c>
      <c r="M26">
        <v>410464.441568423</v>
      </c>
      <c r="N26">
        <v>41985.555931504801</v>
      </c>
      <c r="O26">
        <v>593868.41380815196</v>
      </c>
      <c r="P26">
        <v>141418.41530822299</v>
      </c>
      <c r="R26">
        <v>8682.0059999999994</v>
      </c>
      <c r="S26">
        <v>63833.438561695199</v>
      </c>
    </row>
    <row r="27" spans="4:19" x14ac:dyDescent="0.25">
      <c r="D27">
        <v>8684</v>
      </c>
      <c r="E27">
        <v>5511.5873744890196</v>
      </c>
      <c r="G27">
        <v>8683.0059999999994</v>
      </c>
      <c r="H27">
        <v>6698.5903627726702</v>
      </c>
      <c r="I27">
        <v>34655.168788585797</v>
      </c>
      <c r="J27">
        <v>51982.753682878698</v>
      </c>
      <c r="L27">
        <v>8683.0059999999994</v>
      </c>
      <c r="M27">
        <v>410521.16656842298</v>
      </c>
      <c r="N27">
        <v>41990.391931504797</v>
      </c>
      <c r="O27">
        <v>593946.25980815198</v>
      </c>
      <c r="P27">
        <v>141434.702308223</v>
      </c>
      <c r="R27">
        <v>8683.0059999999994</v>
      </c>
      <c r="S27">
        <v>63840.941561695297</v>
      </c>
    </row>
    <row r="28" spans="4:19" x14ac:dyDescent="0.25">
      <c r="D28">
        <v>8685</v>
      </c>
      <c r="E28">
        <v>5512.1673744890204</v>
      </c>
      <c r="G28">
        <v>8684.0059999999994</v>
      </c>
      <c r="H28">
        <v>6698.5903627726702</v>
      </c>
      <c r="I28">
        <v>34655.168788585797</v>
      </c>
      <c r="J28">
        <v>51982.753682878698</v>
      </c>
      <c r="L28">
        <v>8684.0059999999994</v>
      </c>
      <c r="M28">
        <v>410562.10356842302</v>
      </c>
      <c r="N28">
        <v>41995.226931504803</v>
      </c>
      <c r="O28">
        <v>594008.31980815204</v>
      </c>
      <c r="P28">
        <v>141450.98930822301</v>
      </c>
      <c r="R28">
        <v>8684.0059999999994</v>
      </c>
      <c r="S28">
        <v>63847.3915616952</v>
      </c>
    </row>
    <row r="29" spans="4:19" x14ac:dyDescent="0.25">
      <c r="D29">
        <v>8686</v>
      </c>
      <c r="E29">
        <v>5512.8033744890199</v>
      </c>
      <c r="G29">
        <v>8685.0059999999994</v>
      </c>
      <c r="H29">
        <v>6698.5903627726702</v>
      </c>
      <c r="I29">
        <v>34655.168788585797</v>
      </c>
      <c r="J29">
        <v>51982.753682878698</v>
      </c>
      <c r="L29">
        <v>8685.0059999999994</v>
      </c>
      <c r="M29">
        <v>410591.80756842298</v>
      </c>
      <c r="N29">
        <v>42000.061931504802</v>
      </c>
      <c r="O29">
        <v>594059.14580815204</v>
      </c>
      <c r="P29">
        <v>141467.275308223</v>
      </c>
      <c r="R29">
        <v>8685.0059999999994</v>
      </c>
      <c r="S29">
        <v>63852.363561695201</v>
      </c>
    </row>
    <row r="30" spans="4:19" x14ac:dyDescent="0.25">
      <c r="D30">
        <v>8687</v>
      </c>
      <c r="E30">
        <v>5513.53137448902</v>
      </c>
      <c r="G30">
        <v>8686.0059999999994</v>
      </c>
      <c r="H30">
        <v>6698.5903627726702</v>
      </c>
      <c r="I30">
        <v>34655.168788585797</v>
      </c>
      <c r="J30">
        <v>51982.753682878698</v>
      </c>
      <c r="L30">
        <v>8686.0059999999994</v>
      </c>
      <c r="M30">
        <v>410609.99156842299</v>
      </c>
      <c r="N30">
        <v>42004.897931504798</v>
      </c>
      <c r="O30">
        <v>594098.45080815197</v>
      </c>
      <c r="P30">
        <v>141483.56230822299</v>
      </c>
      <c r="R30">
        <v>8686.0059999999994</v>
      </c>
      <c r="S30">
        <v>63855.501561695201</v>
      </c>
    </row>
    <row r="31" spans="4:19" x14ac:dyDescent="0.25">
      <c r="D31">
        <v>8688</v>
      </c>
      <c r="E31">
        <v>5514.2733744890202</v>
      </c>
      <c r="G31">
        <v>8687.0059999999994</v>
      </c>
      <c r="H31">
        <v>6698.5903627726702</v>
      </c>
      <c r="I31">
        <v>34655.1977885858</v>
      </c>
      <c r="J31">
        <v>51982.796682878703</v>
      </c>
      <c r="L31">
        <v>8687.0059999999994</v>
      </c>
      <c r="M31">
        <v>410623.73356842302</v>
      </c>
      <c r="N31">
        <v>42009.732931504797</v>
      </c>
      <c r="O31">
        <v>594133.31580815197</v>
      </c>
      <c r="P31">
        <v>141499.849308223</v>
      </c>
      <c r="R31">
        <v>8687.0059999999994</v>
      </c>
      <c r="S31">
        <v>63858.647561695201</v>
      </c>
    </row>
    <row r="32" spans="4:19" x14ac:dyDescent="0.25">
      <c r="D32">
        <v>8689</v>
      </c>
      <c r="E32">
        <v>5514.9533744890196</v>
      </c>
      <c r="G32">
        <v>8688.0059999999994</v>
      </c>
      <c r="H32">
        <v>6698.5903627726702</v>
      </c>
      <c r="I32">
        <v>34655.1977885858</v>
      </c>
      <c r="J32">
        <v>51982.796682878703</v>
      </c>
      <c r="L32">
        <v>8688.0059999999994</v>
      </c>
      <c r="M32">
        <v>410639.251568423</v>
      </c>
      <c r="N32">
        <v>42014.567931504796</v>
      </c>
      <c r="O32">
        <v>594169.95580815198</v>
      </c>
      <c r="P32">
        <v>141516.13630822301</v>
      </c>
      <c r="R32">
        <v>8688.0059999999994</v>
      </c>
      <c r="S32">
        <v>63862.865561695296</v>
      </c>
    </row>
    <row r="33" spans="4:19" x14ac:dyDescent="0.25">
      <c r="D33">
        <v>8690</v>
      </c>
      <c r="E33">
        <v>5515.5773744890203</v>
      </c>
      <c r="G33">
        <v>8689.0059999999994</v>
      </c>
      <c r="H33">
        <v>6698.5903627726702</v>
      </c>
      <c r="I33">
        <v>34655.1977885858</v>
      </c>
      <c r="J33">
        <v>51982.796682878703</v>
      </c>
      <c r="L33">
        <v>8689.0059999999994</v>
      </c>
      <c r="M33">
        <v>410655.14056842303</v>
      </c>
      <c r="N33">
        <v>42019.403931504799</v>
      </c>
      <c r="O33">
        <v>594206.96680815204</v>
      </c>
      <c r="P33">
        <v>141532.42330822299</v>
      </c>
      <c r="R33">
        <v>8689.0059999999994</v>
      </c>
      <c r="S33">
        <v>63867.356561695298</v>
      </c>
    </row>
    <row r="34" spans="4:19" x14ac:dyDescent="0.25">
      <c r="D34">
        <v>8691</v>
      </c>
      <c r="E34">
        <v>5516.11637448902</v>
      </c>
      <c r="G34">
        <v>8690.0059999999994</v>
      </c>
      <c r="H34">
        <v>6698.5903627726702</v>
      </c>
      <c r="I34">
        <v>34655.1977885858</v>
      </c>
      <c r="J34">
        <v>51982.796682878703</v>
      </c>
      <c r="L34">
        <v>8690.0059999999994</v>
      </c>
      <c r="M34">
        <v>410672.77556842298</v>
      </c>
      <c r="N34">
        <v>42024.238931504799</v>
      </c>
      <c r="O34">
        <v>594245.72380815202</v>
      </c>
      <c r="P34">
        <v>141548.70930822301</v>
      </c>
      <c r="R34">
        <v>8690.0059999999994</v>
      </c>
      <c r="S34">
        <v>63872.412561695201</v>
      </c>
    </row>
    <row r="35" spans="4:19" x14ac:dyDescent="0.25">
      <c r="D35">
        <v>8692</v>
      </c>
      <c r="E35">
        <v>5516.5563744890196</v>
      </c>
      <c r="G35">
        <v>8691.0059999999994</v>
      </c>
      <c r="H35">
        <v>6698.5903627726702</v>
      </c>
      <c r="I35">
        <v>34655.1977885858</v>
      </c>
      <c r="J35">
        <v>51982.796682878703</v>
      </c>
      <c r="L35">
        <v>8691.0059999999994</v>
      </c>
      <c r="M35">
        <v>410693.56756842299</v>
      </c>
      <c r="N35">
        <v>42029.074931504801</v>
      </c>
      <c r="O35">
        <v>594287.63880815206</v>
      </c>
      <c r="P35">
        <v>141564.996308223</v>
      </c>
      <c r="R35">
        <v>8691.0059999999994</v>
      </c>
      <c r="S35">
        <v>63879.226561695199</v>
      </c>
    </row>
    <row r="36" spans="4:19" x14ac:dyDescent="0.25">
      <c r="D36">
        <v>8693</v>
      </c>
      <c r="E36">
        <v>5516.9483744890204</v>
      </c>
      <c r="G36">
        <v>8692.0059999999994</v>
      </c>
      <c r="H36">
        <v>6698.5903627726702</v>
      </c>
      <c r="I36">
        <v>34655.1977885858</v>
      </c>
      <c r="J36">
        <v>51982.796682878703</v>
      </c>
      <c r="L36">
        <v>8692.0059999999994</v>
      </c>
      <c r="M36">
        <v>410716.061568423</v>
      </c>
      <c r="N36">
        <v>42033.909931504801</v>
      </c>
      <c r="O36">
        <v>594331.25480815198</v>
      </c>
      <c r="P36">
        <v>141581.28330822301</v>
      </c>
      <c r="R36">
        <v>8692.0059999999994</v>
      </c>
      <c r="S36">
        <v>63887.1435616952</v>
      </c>
    </row>
    <row r="37" spans="4:19" x14ac:dyDescent="0.25">
      <c r="D37">
        <v>8694</v>
      </c>
      <c r="E37">
        <v>5517.23237448902</v>
      </c>
      <c r="G37">
        <v>8693.0059999999994</v>
      </c>
      <c r="H37">
        <v>6698.5903627726702</v>
      </c>
      <c r="I37">
        <v>34655.1977885858</v>
      </c>
      <c r="J37">
        <v>51982.796682878703</v>
      </c>
      <c r="L37">
        <v>8693.0059999999994</v>
      </c>
      <c r="M37">
        <v>410746.16256842302</v>
      </c>
      <c r="N37">
        <v>42038.7449315048</v>
      </c>
      <c r="O37">
        <v>594382.47780815198</v>
      </c>
      <c r="P37">
        <v>141597.57030822299</v>
      </c>
      <c r="R37">
        <v>8693.0059999999994</v>
      </c>
      <c r="S37">
        <v>63897.520561695201</v>
      </c>
    </row>
    <row r="38" spans="4:19" x14ac:dyDescent="0.25">
      <c r="D38">
        <v>8695</v>
      </c>
      <c r="E38">
        <v>5517.40637448902</v>
      </c>
      <c r="G38">
        <v>8694.0059999999994</v>
      </c>
      <c r="H38">
        <v>6698.5903627726702</v>
      </c>
      <c r="I38">
        <v>34655.1977885858</v>
      </c>
      <c r="J38">
        <v>51982.796682878703</v>
      </c>
      <c r="L38">
        <v>8694.0059999999994</v>
      </c>
      <c r="M38">
        <v>410793.35356842302</v>
      </c>
      <c r="N38">
        <v>42043.580931504803</v>
      </c>
      <c r="O38">
        <v>594450.79080815206</v>
      </c>
      <c r="P38">
        <v>141613.857308223</v>
      </c>
      <c r="R38">
        <v>8694.0059999999994</v>
      </c>
      <c r="S38">
        <v>63915.2645616952</v>
      </c>
    </row>
    <row r="39" spans="4:19" x14ac:dyDescent="0.25">
      <c r="D39">
        <v>8696</v>
      </c>
      <c r="E39">
        <v>5517.5443744890199</v>
      </c>
      <c r="G39">
        <v>8695.0059999999994</v>
      </c>
      <c r="H39">
        <v>6698.5903627726702</v>
      </c>
      <c r="I39">
        <v>34655.1977885858</v>
      </c>
      <c r="J39">
        <v>51982.796682878703</v>
      </c>
      <c r="L39">
        <v>8695.0059999999994</v>
      </c>
      <c r="M39">
        <v>410855.61256842298</v>
      </c>
      <c r="N39">
        <v>42048.415931504802</v>
      </c>
      <c r="O39">
        <v>594534.17280815204</v>
      </c>
      <c r="P39">
        <v>141630.14430822301</v>
      </c>
      <c r="R39">
        <v>8695.0059999999994</v>
      </c>
      <c r="S39">
        <v>63940.2835616952</v>
      </c>
    </row>
    <row r="40" spans="4:19" x14ac:dyDescent="0.25">
      <c r="D40">
        <v>8697</v>
      </c>
      <c r="E40">
        <v>5517.6733744890198</v>
      </c>
      <c r="G40">
        <v>8696.0059999999994</v>
      </c>
      <c r="H40">
        <v>6698.5903627726702</v>
      </c>
      <c r="I40">
        <v>34655.1977885858</v>
      </c>
      <c r="J40">
        <v>51982.796682878703</v>
      </c>
      <c r="L40">
        <v>8696.0059999999994</v>
      </c>
      <c r="M40">
        <v>410928.55256842298</v>
      </c>
      <c r="N40">
        <v>42053.250931504801</v>
      </c>
      <c r="O40">
        <v>594628.23480815196</v>
      </c>
      <c r="P40">
        <v>141646.430308223</v>
      </c>
      <c r="R40">
        <v>8696.0059999999994</v>
      </c>
      <c r="S40">
        <v>63969.363561695201</v>
      </c>
    </row>
    <row r="41" spans="4:19" x14ac:dyDescent="0.25">
      <c r="D41">
        <v>8698</v>
      </c>
      <c r="E41">
        <v>5517.8323744890204</v>
      </c>
      <c r="G41">
        <v>8697.0059999999994</v>
      </c>
      <c r="H41">
        <v>6698.5903627726702</v>
      </c>
      <c r="I41">
        <v>34655.241788585801</v>
      </c>
      <c r="J41">
        <v>51982.862682878702</v>
      </c>
      <c r="L41">
        <v>8697.0059999999994</v>
      </c>
      <c r="M41">
        <v>411023.92156842299</v>
      </c>
      <c r="N41">
        <v>42058.086931504797</v>
      </c>
      <c r="O41">
        <v>594744.725808152</v>
      </c>
      <c r="P41">
        <v>141662.71730822299</v>
      </c>
      <c r="R41">
        <v>8697.0059999999994</v>
      </c>
      <c r="S41">
        <v>64004.528561695297</v>
      </c>
    </row>
    <row r="42" spans="4:19" x14ac:dyDescent="0.25">
      <c r="D42">
        <v>8699</v>
      </c>
      <c r="E42">
        <v>5518.1033744890201</v>
      </c>
      <c r="G42">
        <v>8698.0059999999994</v>
      </c>
      <c r="H42">
        <v>6698.5903627726702</v>
      </c>
      <c r="I42">
        <v>34656.690788585802</v>
      </c>
      <c r="J42">
        <v>51985.035682878697</v>
      </c>
      <c r="L42">
        <v>8698.0059999999994</v>
      </c>
      <c r="M42">
        <v>411119.91356842301</v>
      </c>
      <c r="N42">
        <v>42062.921931504803</v>
      </c>
      <c r="O42">
        <v>594861.83980815206</v>
      </c>
      <c r="P42">
        <v>141679.004308223</v>
      </c>
      <c r="R42">
        <v>8698.0059999999994</v>
      </c>
      <c r="S42">
        <v>64036.587561695298</v>
      </c>
    </row>
    <row r="43" spans="4:19" x14ac:dyDescent="0.25">
      <c r="D43">
        <v>8700</v>
      </c>
      <c r="E43">
        <v>5518.4463744890199</v>
      </c>
      <c r="G43">
        <v>8699.0059999999994</v>
      </c>
      <c r="H43">
        <v>6698.5903627726702</v>
      </c>
      <c r="I43">
        <v>34659.215788585803</v>
      </c>
      <c r="J43">
        <v>51988.823682878698</v>
      </c>
      <c r="L43">
        <v>8699.0059999999994</v>
      </c>
      <c r="M43">
        <v>411204.18956842303</v>
      </c>
      <c r="N43">
        <v>42067.757931504799</v>
      </c>
      <c r="O43">
        <v>594967.23880815203</v>
      </c>
      <c r="P43">
        <v>141695.29130822301</v>
      </c>
      <c r="R43">
        <v>8699.0059999999994</v>
      </c>
      <c r="S43">
        <v>64066.049561695298</v>
      </c>
    </row>
    <row r="44" spans="4:19" x14ac:dyDescent="0.25">
      <c r="D44">
        <v>8701</v>
      </c>
      <c r="E44">
        <v>5518.8553744890196</v>
      </c>
      <c r="G44">
        <v>8700.0059999999994</v>
      </c>
      <c r="H44">
        <v>6698.5903627726702</v>
      </c>
      <c r="I44">
        <v>34661.388788585798</v>
      </c>
      <c r="J44">
        <v>51992.0836828787</v>
      </c>
      <c r="L44">
        <v>8700.0059999999994</v>
      </c>
      <c r="M44">
        <v>411267.93856842298</v>
      </c>
      <c r="N44">
        <v>42072.592931504798</v>
      </c>
      <c r="O44">
        <v>595052.10980815196</v>
      </c>
      <c r="P44">
        <v>141711.57830822299</v>
      </c>
      <c r="R44">
        <v>8700.0059999999994</v>
      </c>
      <c r="S44">
        <v>64087.581561695297</v>
      </c>
    </row>
    <row r="45" spans="4:19" x14ac:dyDescent="0.25">
      <c r="D45">
        <v>8702</v>
      </c>
      <c r="E45">
        <v>5519.2393744890196</v>
      </c>
      <c r="G45">
        <v>8701.0059999999994</v>
      </c>
      <c r="H45">
        <v>6698.5903627726702</v>
      </c>
      <c r="I45">
        <v>34662.401788585797</v>
      </c>
      <c r="J45">
        <v>51993.6026828787</v>
      </c>
      <c r="L45">
        <v>8701.0059999999994</v>
      </c>
      <c r="M45">
        <v>411326.81456842303</v>
      </c>
      <c r="N45">
        <v>42077.427931504797</v>
      </c>
      <c r="O45">
        <v>595132.10780815198</v>
      </c>
      <c r="P45">
        <v>141727.86430822301</v>
      </c>
      <c r="R45">
        <v>8701.0059999999994</v>
      </c>
      <c r="S45">
        <v>64107.796561695199</v>
      </c>
    </row>
    <row r="46" spans="4:19" x14ac:dyDescent="0.25">
      <c r="D46">
        <v>8703</v>
      </c>
      <c r="E46">
        <v>5519.5853744890201</v>
      </c>
      <c r="G46">
        <v>8702.0059999999994</v>
      </c>
      <c r="H46">
        <v>6698.5903627726702</v>
      </c>
      <c r="I46">
        <v>34662.461788585802</v>
      </c>
      <c r="J46">
        <v>51993.692682878704</v>
      </c>
      <c r="L46">
        <v>8702.0059999999994</v>
      </c>
      <c r="M46">
        <v>411383.96256842301</v>
      </c>
      <c r="N46">
        <v>42082.2639315048</v>
      </c>
      <c r="O46">
        <v>595210.377808152</v>
      </c>
      <c r="P46">
        <v>141744.15130822299</v>
      </c>
      <c r="R46">
        <v>8702.0059999999994</v>
      </c>
      <c r="S46">
        <v>64126.832561695199</v>
      </c>
    </row>
    <row r="47" spans="4:19" x14ac:dyDescent="0.25">
      <c r="D47">
        <v>8704</v>
      </c>
      <c r="E47">
        <v>5519.9533744890196</v>
      </c>
      <c r="G47">
        <v>8703.0059999999994</v>
      </c>
      <c r="H47">
        <v>6698.5903627726702</v>
      </c>
      <c r="I47">
        <v>34662.461788585802</v>
      </c>
      <c r="J47">
        <v>51993.692682878704</v>
      </c>
      <c r="L47">
        <v>8703.0059999999994</v>
      </c>
      <c r="M47">
        <v>411443.01456842298</v>
      </c>
      <c r="N47">
        <v>42087.098931504799</v>
      </c>
      <c r="O47">
        <v>595290.551808152</v>
      </c>
      <c r="P47">
        <v>141760.43830822301</v>
      </c>
      <c r="R47">
        <v>8703.0059999999994</v>
      </c>
      <c r="S47">
        <v>64143.580561695198</v>
      </c>
    </row>
    <row r="48" spans="4:19" x14ac:dyDescent="0.25">
      <c r="D48">
        <v>8705</v>
      </c>
      <c r="E48">
        <v>5520.3373744890196</v>
      </c>
      <c r="G48">
        <v>8704.0059999999994</v>
      </c>
      <c r="H48">
        <v>6698.5903627726702</v>
      </c>
      <c r="I48">
        <v>34662.461788585802</v>
      </c>
      <c r="J48">
        <v>51993.692682878704</v>
      </c>
      <c r="L48">
        <v>8704.0059999999994</v>
      </c>
      <c r="M48">
        <v>411518.33156842302</v>
      </c>
      <c r="N48">
        <v>42091.933931504798</v>
      </c>
      <c r="O48">
        <v>595386.99180815194</v>
      </c>
      <c r="P48">
        <v>141776.72530822299</v>
      </c>
      <c r="R48">
        <v>8704.0059999999994</v>
      </c>
      <c r="S48">
        <v>64161.670561695297</v>
      </c>
    </row>
    <row r="49" spans="4:19" x14ac:dyDescent="0.25">
      <c r="D49">
        <v>8706</v>
      </c>
      <c r="E49">
        <v>5520.6863744890197</v>
      </c>
      <c r="G49">
        <v>8705.0059999999994</v>
      </c>
      <c r="H49">
        <v>6698.5903627726702</v>
      </c>
      <c r="I49">
        <v>34662.461788585802</v>
      </c>
      <c r="J49">
        <v>51993.692682878704</v>
      </c>
      <c r="L49">
        <v>8705.0059999999994</v>
      </c>
      <c r="M49">
        <v>411618.77556842298</v>
      </c>
      <c r="N49">
        <v>42096.769931504801</v>
      </c>
      <c r="O49">
        <v>595508.556808152</v>
      </c>
      <c r="P49">
        <v>141793.012308223</v>
      </c>
      <c r="R49">
        <v>8705.0059999999994</v>
      </c>
      <c r="S49">
        <v>64184.6315616953</v>
      </c>
    </row>
    <row r="50" spans="4:19" x14ac:dyDescent="0.25">
      <c r="D50">
        <v>8707</v>
      </c>
      <c r="E50">
        <v>5521.0513744890204</v>
      </c>
      <c r="G50">
        <v>8706.0059999999994</v>
      </c>
      <c r="H50">
        <v>6698.5903627726702</v>
      </c>
      <c r="I50">
        <v>34662.461788585802</v>
      </c>
      <c r="J50">
        <v>51993.692682878704</v>
      </c>
      <c r="L50">
        <v>8706.0059999999994</v>
      </c>
      <c r="M50">
        <v>411719.713568423</v>
      </c>
      <c r="N50">
        <v>42101.6049315048</v>
      </c>
      <c r="O50">
        <v>595630.61780815199</v>
      </c>
      <c r="P50">
        <v>141809.29830822299</v>
      </c>
      <c r="R50">
        <v>8706.0059999999994</v>
      </c>
      <c r="S50">
        <v>64204.3455616953</v>
      </c>
    </row>
    <row r="51" spans="4:19" x14ac:dyDescent="0.25">
      <c r="D51">
        <v>8708</v>
      </c>
      <c r="E51">
        <v>5521.54037448902</v>
      </c>
      <c r="G51">
        <v>8707.0059999999994</v>
      </c>
      <c r="H51">
        <v>6698.5903627726702</v>
      </c>
      <c r="I51">
        <v>34662.461788585802</v>
      </c>
      <c r="J51">
        <v>51993.692682878704</v>
      </c>
      <c r="L51">
        <v>8707.0059999999994</v>
      </c>
      <c r="M51">
        <v>411779.87756842299</v>
      </c>
      <c r="N51">
        <v>42106.440931504803</v>
      </c>
      <c r="O51">
        <v>595711.90380815195</v>
      </c>
      <c r="P51">
        <v>141825.585308223</v>
      </c>
      <c r="R51">
        <v>8707.0059999999994</v>
      </c>
      <c r="S51">
        <v>64215.421561695199</v>
      </c>
    </row>
    <row r="52" spans="4:19" x14ac:dyDescent="0.25">
      <c r="D52">
        <v>8709</v>
      </c>
      <c r="E52">
        <v>5522.1213744890201</v>
      </c>
      <c r="G52">
        <v>8708.0059999999994</v>
      </c>
      <c r="H52">
        <v>6698.5903627726702</v>
      </c>
      <c r="I52">
        <v>34662.461788585802</v>
      </c>
      <c r="J52">
        <v>51993.692682878704</v>
      </c>
      <c r="L52">
        <v>8708.0059999999994</v>
      </c>
      <c r="M52">
        <v>411815.93556842301</v>
      </c>
      <c r="N52">
        <v>42111.275931504802</v>
      </c>
      <c r="O52">
        <v>595769.08380815201</v>
      </c>
      <c r="P52">
        <v>141841.87230822301</v>
      </c>
      <c r="R52">
        <v>8708.0059999999994</v>
      </c>
      <c r="S52">
        <v>64222.530561695297</v>
      </c>
    </row>
    <row r="53" spans="4:19" x14ac:dyDescent="0.25">
      <c r="D53">
        <v>8710</v>
      </c>
      <c r="E53">
        <v>5522.8673744890202</v>
      </c>
      <c r="G53">
        <v>8709.0059999999994</v>
      </c>
      <c r="H53">
        <v>6698.5903627726702</v>
      </c>
      <c r="I53">
        <v>34662.461788585802</v>
      </c>
      <c r="J53">
        <v>51993.692682878704</v>
      </c>
      <c r="L53">
        <v>8709.0059999999994</v>
      </c>
      <c r="M53">
        <v>411833.44856842299</v>
      </c>
      <c r="N53">
        <v>42116.110931504802</v>
      </c>
      <c r="O53">
        <v>595807.71880815201</v>
      </c>
      <c r="P53">
        <v>141858.159308223</v>
      </c>
      <c r="R53">
        <v>8709.0059999999994</v>
      </c>
      <c r="S53">
        <v>64225.931561695201</v>
      </c>
    </row>
    <row r="54" spans="4:19" x14ac:dyDescent="0.25">
      <c r="D54">
        <v>8711</v>
      </c>
      <c r="E54">
        <v>5523.7123744890196</v>
      </c>
      <c r="G54">
        <v>8710.0059999999994</v>
      </c>
      <c r="H54">
        <v>6698.5903627726702</v>
      </c>
      <c r="I54">
        <v>34662.461788585802</v>
      </c>
      <c r="J54">
        <v>51993.692682878704</v>
      </c>
      <c r="L54">
        <v>8710.0059999999994</v>
      </c>
      <c r="M54">
        <v>411842.996568423</v>
      </c>
      <c r="N54">
        <v>42120.946931504797</v>
      </c>
      <c r="O54">
        <v>595838.38980815199</v>
      </c>
      <c r="P54">
        <v>141874.44630822301</v>
      </c>
      <c r="R54">
        <v>8710.0059999999994</v>
      </c>
      <c r="S54">
        <v>64227.6845616953</v>
      </c>
    </row>
    <row r="55" spans="4:19" x14ac:dyDescent="0.25">
      <c r="D55">
        <v>8712</v>
      </c>
      <c r="E55">
        <v>5524.7123744890196</v>
      </c>
      <c r="G55">
        <v>8711.0059999999994</v>
      </c>
      <c r="H55">
        <v>6699.1953627726698</v>
      </c>
      <c r="I55">
        <v>34662.461788585802</v>
      </c>
      <c r="J55">
        <v>51993.692682878704</v>
      </c>
      <c r="L55">
        <v>8711.0059999999994</v>
      </c>
      <c r="M55">
        <v>411842.996568423</v>
      </c>
      <c r="N55">
        <v>42125.781931504796</v>
      </c>
      <c r="O55">
        <v>595859.51180815196</v>
      </c>
      <c r="P55">
        <v>141890.73330822299</v>
      </c>
      <c r="R55">
        <v>8711.0059999999994</v>
      </c>
      <c r="S55">
        <v>64227.130561695201</v>
      </c>
    </row>
    <row r="56" spans="4:19" x14ac:dyDescent="0.25">
      <c r="D56">
        <v>8713</v>
      </c>
      <c r="E56">
        <v>5525.7123744890196</v>
      </c>
      <c r="G56">
        <v>8712.0059999999994</v>
      </c>
      <c r="H56">
        <v>6702.7483627726697</v>
      </c>
      <c r="I56">
        <v>34662.461788585802</v>
      </c>
      <c r="J56">
        <v>51993.692682878704</v>
      </c>
      <c r="L56">
        <v>8712.0059999999994</v>
      </c>
      <c r="M56">
        <v>411842.996568423</v>
      </c>
      <c r="N56">
        <v>42130.616931504803</v>
      </c>
      <c r="O56">
        <v>595880.63380815205</v>
      </c>
      <c r="P56">
        <v>141907.01930822301</v>
      </c>
      <c r="R56">
        <v>8712.0059999999994</v>
      </c>
      <c r="S56">
        <v>64224.556561695201</v>
      </c>
    </row>
    <row r="57" spans="4:19" x14ac:dyDescent="0.25">
      <c r="D57">
        <v>8714</v>
      </c>
      <c r="E57">
        <v>5526.7123744890196</v>
      </c>
      <c r="G57">
        <v>8713.0059999999994</v>
      </c>
      <c r="H57">
        <v>6707.9773627726699</v>
      </c>
      <c r="I57">
        <v>34662.461788585802</v>
      </c>
      <c r="J57">
        <v>51993.692682878704</v>
      </c>
      <c r="L57">
        <v>8713.0059999999994</v>
      </c>
      <c r="M57">
        <v>411842.996568423</v>
      </c>
      <c r="N57">
        <v>42135.452931504798</v>
      </c>
      <c r="O57">
        <v>595901.75580815203</v>
      </c>
      <c r="P57">
        <v>141923.30630822299</v>
      </c>
      <c r="R57">
        <v>8713.0059999999994</v>
      </c>
      <c r="S57">
        <v>64221.111561695201</v>
      </c>
    </row>
    <row r="58" spans="4:19" x14ac:dyDescent="0.25">
      <c r="D58">
        <v>8715</v>
      </c>
      <c r="E58">
        <v>5527.7123744890196</v>
      </c>
      <c r="G58">
        <v>8714.0059999999994</v>
      </c>
      <c r="H58">
        <v>6713.78136277267</v>
      </c>
      <c r="I58">
        <v>34662.461788585802</v>
      </c>
      <c r="J58">
        <v>51993.692682878704</v>
      </c>
      <c r="L58">
        <v>8714.0059999999994</v>
      </c>
      <c r="M58">
        <v>411842.996568423</v>
      </c>
      <c r="N58">
        <v>42140.287931504798</v>
      </c>
      <c r="O58">
        <v>595922.87880815205</v>
      </c>
      <c r="P58">
        <v>141939.593308223</v>
      </c>
      <c r="R58">
        <v>8714.0059999999994</v>
      </c>
      <c r="S58">
        <v>64217.117561695297</v>
      </c>
    </row>
    <row r="59" spans="4:19" x14ac:dyDescent="0.25">
      <c r="D59">
        <v>8716</v>
      </c>
      <c r="E59">
        <v>5528.7123744890196</v>
      </c>
      <c r="G59">
        <v>8715.0059999999994</v>
      </c>
      <c r="H59">
        <v>6720.4303627726704</v>
      </c>
      <c r="I59">
        <v>34662.461788585802</v>
      </c>
      <c r="J59">
        <v>51993.692682878704</v>
      </c>
      <c r="L59">
        <v>8715.0059999999994</v>
      </c>
      <c r="M59">
        <v>411842.996568423</v>
      </c>
      <c r="N59">
        <v>42145.123931504801</v>
      </c>
      <c r="O59">
        <v>595944.00080815202</v>
      </c>
      <c r="P59">
        <v>141955.88030822299</v>
      </c>
      <c r="R59">
        <v>8715.0059999999994</v>
      </c>
      <c r="S59">
        <v>64211.913561695299</v>
      </c>
    </row>
    <row r="60" spans="4:19" x14ac:dyDescent="0.25">
      <c r="D60">
        <v>8717</v>
      </c>
      <c r="E60">
        <v>5529.7123744890196</v>
      </c>
      <c r="G60">
        <v>8716.0059999999994</v>
      </c>
      <c r="H60">
        <v>6727.5813627726702</v>
      </c>
      <c r="I60">
        <v>34662.461788585802</v>
      </c>
      <c r="J60">
        <v>51993.692682878704</v>
      </c>
      <c r="L60">
        <v>8716.0059999999994</v>
      </c>
      <c r="M60">
        <v>411842.996568423</v>
      </c>
      <c r="N60">
        <v>42149.9589315048</v>
      </c>
      <c r="O60">
        <v>595965.12280815199</v>
      </c>
      <c r="P60">
        <v>141972.167308223</v>
      </c>
      <c r="R60">
        <v>8716.0059999999994</v>
      </c>
      <c r="S60">
        <v>64207.065561695199</v>
      </c>
    </row>
    <row r="61" spans="4:19" x14ac:dyDescent="0.25">
      <c r="D61">
        <v>8718</v>
      </c>
      <c r="E61">
        <v>5530.7123744890196</v>
      </c>
      <c r="G61">
        <v>8717.0059999999994</v>
      </c>
      <c r="H61">
        <v>6734.5393627726698</v>
      </c>
      <c r="I61">
        <v>34662.472788585801</v>
      </c>
      <c r="J61">
        <v>51993.7086828787</v>
      </c>
      <c r="L61">
        <v>8717.0059999999994</v>
      </c>
      <c r="M61">
        <v>411842.98656842299</v>
      </c>
      <c r="N61">
        <v>42154.793931504799</v>
      </c>
      <c r="O61">
        <v>595986.23480815196</v>
      </c>
      <c r="P61">
        <v>141988.45330822299</v>
      </c>
      <c r="R61">
        <v>8717.0059999999994</v>
      </c>
      <c r="S61">
        <v>64202.635561695199</v>
      </c>
    </row>
    <row r="62" spans="4:19" x14ac:dyDescent="0.25">
      <c r="D62">
        <v>8719</v>
      </c>
      <c r="E62">
        <v>5531.7123744890196</v>
      </c>
      <c r="G62">
        <v>8718.0059999999994</v>
      </c>
      <c r="H62">
        <v>6740.1513627726699</v>
      </c>
      <c r="I62">
        <v>34662.472788585801</v>
      </c>
      <c r="J62">
        <v>51993.7086828787</v>
      </c>
      <c r="L62">
        <v>8718.0059999999994</v>
      </c>
      <c r="M62">
        <v>411842.98656842299</v>
      </c>
      <c r="N62">
        <v>42159.629931504802</v>
      </c>
      <c r="O62">
        <v>596007.35680815205</v>
      </c>
      <c r="P62">
        <v>142004.740308223</v>
      </c>
      <c r="R62">
        <v>8718.0059999999994</v>
      </c>
      <c r="S62">
        <v>64198.7375616953</v>
      </c>
    </row>
    <row r="63" spans="4:19" x14ac:dyDescent="0.25">
      <c r="D63">
        <v>8720</v>
      </c>
      <c r="E63">
        <v>5532.7123744890196</v>
      </c>
      <c r="G63">
        <v>8719.0059999999994</v>
      </c>
      <c r="H63">
        <v>6744.5733627726704</v>
      </c>
      <c r="I63">
        <v>34662.489788585801</v>
      </c>
      <c r="J63">
        <v>51993.734682878698</v>
      </c>
      <c r="L63">
        <v>8719.0059999999994</v>
      </c>
      <c r="M63">
        <v>411842.969568423</v>
      </c>
      <c r="N63">
        <v>42164.464931504801</v>
      </c>
      <c r="O63">
        <v>596028.46180815203</v>
      </c>
      <c r="P63">
        <v>142021.02730822301</v>
      </c>
      <c r="R63">
        <v>8719.0059999999994</v>
      </c>
      <c r="S63">
        <v>64194.954561695296</v>
      </c>
    </row>
    <row r="64" spans="4:19" x14ac:dyDescent="0.25">
      <c r="D64">
        <v>8721</v>
      </c>
      <c r="E64">
        <v>5533.7123744890196</v>
      </c>
      <c r="G64">
        <v>8720.0059999999994</v>
      </c>
      <c r="H64">
        <v>6746.2203627726703</v>
      </c>
      <c r="I64">
        <v>34662.489788585801</v>
      </c>
      <c r="J64">
        <v>51993.734682878698</v>
      </c>
      <c r="L64">
        <v>8720.0059999999994</v>
      </c>
      <c r="M64">
        <v>411842.969568423</v>
      </c>
      <c r="N64">
        <v>42169.2999315048</v>
      </c>
      <c r="O64">
        <v>596049.58380815201</v>
      </c>
      <c r="P64">
        <v>142037.31430822299</v>
      </c>
      <c r="R64">
        <v>8720.0059999999994</v>
      </c>
      <c r="S64">
        <v>64193.3575616952</v>
      </c>
    </row>
    <row r="65" spans="4:19" x14ac:dyDescent="0.25">
      <c r="D65">
        <v>8722</v>
      </c>
      <c r="E65">
        <v>5534.7123744890196</v>
      </c>
      <c r="G65">
        <v>8721.0059999999994</v>
      </c>
      <c r="H65">
        <v>6746.8333627726697</v>
      </c>
      <c r="I65">
        <v>34662.489788585801</v>
      </c>
      <c r="J65">
        <v>51993.734682878698</v>
      </c>
      <c r="L65">
        <v>8721.0059999999994</v>
      </c>
      <c r="M65">
        <v>411842.969568423</v>
      </c>
      <c r="N65">
        <v>42174.135931504803</v>
      </c>
      <c r="O65">
        <v>596070.70580815198</v>
      </c>
      <c r="P65">
        <v>142053.60130822301</v>
      </c>
      <c r="R65">
        <v>8721.0059999999994</v>
      </c>
      <c r="S65">
        <v>64192.771561695299</v>
      </c>
    </row>
    <row r="66" spans="4:19" x14ac:dyDescent="0.25">
      <c r="D66">
        <v>8723</v>
      </c>
      <c r="E66">
        <v>5535.7123744890196</v>
      </c>
      <c r="G66">
        <v>8722.0059999999994</v>
      </c>
      <c r="H66">
        <v>6748.8153627726697</v>
      </c>
      <c r="I66">
        <v>34662.511788585798</v>
      </c>
      <c r="J66">
        <v>51993.768682878697</v>
      </c>
      <c r="L66">
        <v>8722.0059999999994</v>
      </c>
      <c r="M66">
        <v>411842.94656842301</v>
      </c>
      <c r="N66">
        <v>42178.970931504802</v>
      </c>
      <c r="O66">
        <v>596091.80580815196</v>
      </c>
      <c r="P66">
        <v>142069.88830822299</v>
      </c>
      <c r="R66">
        <v>8722.0059999999994</v>
      </c>
      <c r="S66">
        <v>64190.896561695299</v>
      </c>
    </row>
    <row r="67" spans="4:19" x14ac:dyDescent="0.25">
      <c r="D67">
        <v>8724</v>
      </c>
      <c r="E67">
        <v>5536.7123744890196</v>
      </c>
      <c r="G67">
        <v>8723.0059999999994</v>
      </c>
      <c r="H67">
        <v>6750.6313627726704</v>
      </c>
      <c r="I67">
        <v>34662.5767885858</v>
      </c>
      <c r="J67">
        <v>51993.864682878702</v>
      </c>
      <c r="L67">
        <v>8723.0059999999994</v>
      </c>
      <c r="M67">
        <v>411842.88156842301</v>
      </c>
      <c r="N67">
        <v>42183.806931504798</v>
      </c>
      <c r="O67">
        <v>596112.86280815199</v>
      </c>
      <c r="P67">
        <v>142086.17430822301</v>
      </c>
      <c r="R67">
        <v>8723.0059999999994</v>
      </c>
      <c r="S67">
        <v>64189.099561695199</v>
      </c>
    </row>
    <row r="68" spans="4:19" x14ac:dyDescent="0.25">
      <c r="D68">
        <v>8725</v>
      </c>
      <c r="E68">
        <v>5537.7123744890196</v>
      </c>
      <c r="G68">
        <v>8724.0059999999994</v>
      </c>
      <c r="H68">
        <v>6752.2773627726701</v>
      </c>
      <c r="I68">
        <v>34662.5917885858</v>
      </c>
      <c r="J68">
        <v>51993.887682878703</v>
      </c>
      <c r="L68">
        <v>8724.0059999999994</v>
      </c>
      <c r="M68">
        <v>411842.86756842298</v>
      </c>
      <c r="N68">
        <v>42188.641931504797</v>
      </c>
      <c r="O68">
        <v>596133.97080815199</v>
      </c>
      <c r="P68">
        <v>142102.46130822299</v>
      </c>
      <c r="R68">
        <v>8724.0059999999994</v>
      </c>
      <c r="S68">
        <v>64187.484561695201</v>
      </c>
    </row>
    <row r="69" spans="4:19" x14ac:dyDescent="0.25">
      <c r="D69">
        <v>8726</v>
      </c>
      <c r="E69">
        <v>5538.7123744890196</v>
      </c>
      <c r="G69">
        <v>8725.0059999999994</v>
      </c>
      <c r="H69">
        <v>6752.8203627726698</v>
      </c>
      <c r="I69">
        <v>34662.603788585802</v>
      </c>
      <c r="J69">
        <v>51993.9056828787</v>
      </c>
      <c r="L69">
        <v>8725.0059999999994</v>
      </c>
      <c r="M69">
        <v>411842.854568423</v>
      </c>
      <c r="N69">
        <v>42193.476931504803</v>
      </c>
      <c r="O69">
        <v>596155.07980815205</v>
      </c>
      <c r="P69">
        <v>142118.748308223</v>
      </c>
      <c r="R69">
        <v>8725.0059999999994</v>
      </c>
      <c r="S69">
        <v>64186.9085616952</v>
      </c>
    </row>
    <row r="70" spans="4:19" x14ac:dyDescent="0.25">
      <c r="D70">
        <v>8727</v>
      </c>
      <c r="E70">
        <v>5539.7063744890202</v>
      </c>
      <c r="G70">
        <v>8726.0059999999994</v>
      </c>
      <c r="H70">
        <v>6752.8203627726698</v>
      </c>
      <c r="I70">
        <v>34662.603788585802</v>
      </c>
      <c r="J70">
        <v>51993.9056828787</v>
      </c>
      <c r="L70">
        <v>8726.0059999999994</v>
      </c>
      <c r="M70">
        <v>411843.229568423</v>
      </c>
      <c r="N70">
        <v>42198.312931504799</v>
      </c>
      <c r="O70">
        <v>596176.57680815202</v>
      </c>
      <c r="P70">
        <v>142135.03530822301</v>
      </c>
      <c r="R70">
        <v>8726.0059999999994</v>
      </c>
      <c r="S70">
        <v>64186.990561695296</v>
      </c>
    </row>
    <row r="71" spans="4:19" x14ac:dyDescent="0.25">
      <c r="D71">
        <v>8728</v>
      </c>
      <c r="E71">
        <v>5540.4183744890197</v>
      </c>
      <c r="G71">
        <v>8727.0059999999994</v>
      </c>
      <c r="H71">
        <v>6752.8203627726698</v>
      </c>
      <c r="I71">
        <v>34662.603788585802</v>
      </c>
      <c r="J71">
        <v>51993.9056828787</v>
      </c>
      <c r="L71">
        <v>8727.0059999999994</v>
      </c>
      <c r="M71">
        <v>411867.99956842302</v>
      </c>
      <c r="N71">
        <v>42203.147931504798</v>
      </c>
      <c r="O71">
        <v>596222.46980815195</v>
      </c>
      <c r="P71">
        <v>142151.322308223</v>
      </c>
      <c r="R71">
        <v>8727.0059999999994</v>
      </c>
      <c r="S71">
        <v>64193.294561695198</v>
      </c>
    </row>
    <row r="72" spans="4:19" x14ac:dyDescent="0.25">
      <c r="D72">
        <v>8729</v>
      </c>
      <c r="E72">
        <v>5541.0113744890205</v>
      </c>
      <c r="G72">
        <v>8728.0059999999994</v>
      </c>
      <c r="H72">
        <v>6752.8203627726698</v>
      </c>
      <c r="I72">
        <v>34662.603788585802</v>
      </c>
      <c r="J72">
        <v>51993.9056828787</v>
      </c>
      <c r="L72">
        <v>8728.0059999999994</v>
      </c>
      <c r="M72">
        <v>411908.46756842302</v>
      </c>
      <c r="N72">
        <v>42207.982931504797</v>
      </c>
      <c r="O72">
        <v>596284.05980815203</v>
      </c>
      <c r="P72">
        <v>142167.60830822299</v>
      </c>
      <c r="R72">
        <v>8728.0059999999994</v>
      </c>
      <c r="S72">
        <v>64203.606561695298</v>
      </c>
    </row>
    <row r="73" spans="4:19" x14ac:dyDescent="0.25">
      <c r="D73">
        <v>8730</v>
      </c>
      <c r="E73">
        <v>5541.4693744890201</v>
      </c>
      <c r="G73">
        <v>8729.0059999999994</v>
      </c>
      <c r="H73">
        <v>6752.8203627726698</v>
      </c>
      <c r="I73">
        <v>34662.603788585802</v>
      </c>
      <c r="J73">
        <v>51993.9056828787</v>
      </c>
      <c r="L73">
        <v>8729.0059999999994</v>
      </c>
      <c r="M73">
        <v>411981.07956842298</v>
      </c>
      <c r="N73">
        <v>42212.8189315048</v>
      </c>
      <c r="O73">
        <v>596377.79380815197</v>
      </c>
      <c r="P73">
        <v>142183.895308223</v>
      </c>
      <c r="R73">
        <v>8729.0059999999994</v>
      </c>
      <c r="S73">
        <v>64222.149561695202</v>
      </c>
    </row>
    <row r="74" spans="4:19" x14ac:dyDescent="0.25">
      <c r="D74">
        <v>8731</v>
      </c>
      <c r="E74">
        <v>5541.9623744890196</v>
      </c>
      <c r="G74">
        <v>8730.0059999999994</v>
      </c>
      <c r="H74">
        <v>6752.8203627726698</v>
      </c>
      <c r="I74">
        <v>34662.603788585802</v>
      </c>
      <c r="J74">
        <v>51993.9056828787</v>
      </c>
      <c r="L74">
        <v>8730.0059999999994</v>
      </c>
      <c r="M74">
        <v>412045.69556842302</v>
      </c>
      <c r="N74">
        <v>42217.653931504799</v>
      </c>
      <c r="O74">
        <v>596463.53180815198</v>
      </c>
      <c r="P74">
        <v>142200.18230822301</v>
      </c>
      <c r="R74">
        <v>8730.0059999999994</v>
      </c>
      <c r="S74">
        <v>64238.265561695298</v>
      </c>
    </row>
    <row r="75" spans="4:19" x14ac:dyDescent="0.25">
      <c r="D75">
        <v>8732</v>
      </c>
      <c r="E75">
        <v>5542.5273744890201</v>
      </c>
      <c r="G75">
        <v>8731.0059999999994</v>
      </c>
      <c r="H75">
        <v>6752.8203627726698</v>
      </c>
      <c r="I75">
        <v>34662.603788585802</v>
      </c>
      <c r="J75">
        <v>51993.9056828787</v>
      </c>
      <c r="L75">
        <v>8731.0059999999994</v>
      </c>
      <c r="M75">
        <v>412091.68056842301</v>
      </c>
      <c r="N75">
        <v>42222.489931504802</v>
      </c>
      <c r="O75">
        <v>596530.63880815206</v>
      </c>
      <c r="P75">
        <v>142216.46930822299</v>
      </c>
      <c r="R75">
        <v>8731.0059999999994</v>
      </c>
      <c r="S75">
        <v>64249.227561695297</v>
      </c>
    </row>
    <row r="76" spans="4:19" x14ac:dyDescent="0.25">
      <c r="D76">
        <v>8733</v>
      </c>
      <c r="E76">
        <v>5543.0623744890199</v>
      </c>
      <c r="G76">
        <v>8732.0059999999994</v>
      </c>
      <c r="H76">
        <v>6752.8203627726698</v>
      </c>
      <c r="I76">
        <v>34662.603788585802</v>
      </c>
      <c r="J76">
        <v>51993.9056828787</v>
      </c>
      <c r="L76">
        <v>8732.0059999999994</v>
      </c>
      <c r="M76">
        <v>412141.20656842302</v>
      </c>
      <c r="N76">
        <v>42227.324931504801</v>
      </c>
      <c r="O76">
        <v>596601.28780815203</v>
      </c>
      <c r="P76">
        <v>142232.756308223</v>
      </c>
      <c r="R76">
        <v>8732.0059999999994</v>
      </c>
      <c r="S76">
        <v>64258.931561695201</v>
      </c>
    </row>
    <row r="77" spans="4:19" x14ac:dyDescent="0.25">
      <c r="D77">
        <v>8734</v>
      </c>
      <c r="E77">
        <v>5543.6113744890199</v>
      </c>
      <c r="G77">
        <v>8733.0059999999994</v>
      </c>
      <c r="H77">
        <v>6752.8203627726698</v>
      </c>
      <c r="I77">
        <v>34662.603788585802</v>
      </c>
      <c r="J77">
        <v>51993.9056828787</v>
      </c>
      <c r="L77">
        <v>8733.0059999999994</v>
      </c>
      <c r="M77">
        <v>412186.19856842299</v>
      </c>
      <c r="N77">
        <v>42232.159931504801</v>
      </c>
      <c r="O77">
        <v>596667.40080815204</v>
      </c>
      <c r="P77">
        <v>142249.042308223</v>
      </c>
      <c r="R77">
        <v>8733.0059999999994</v>
      </c>
      <c r="S77">
        <v>64267.815561695199</v>
      </c>
    </row>
    <row r="78" spans="4:19" x14ac:dyDescent="0.25">
      <c r="D78">
        <v>8735</v>
      </c>
      <c r="E78">
        <v>5544.2333744890202</v>
      </c>
      <c r="G78">
        <v>8734.0059999999994</v>
      </c>
      <c r="H78">
        <v>6752.8203627726698</v>
      </c>
      <c r="I78">
        <v>34662.603788585802</v>
      </c>
      <c r="J78">
        <v>51993.9056828787</v>
      </c>
      <c r="L78">
        <v>8734.0059999999994</v>
      </c>
      <c r="M78">
        <v>412216.02656842303</v>
      </c>
      <c r="N78">
        <v>42236.995931504804</v>
      </c>
      <c r="O78">
        <v>596718.35180815205</v>
      </c>
      <c r="P78">
        <v>142265.32930822301</v>
      </c>
      <c r="R78">
        <v>8734.0059999999994</v>
      </c>
      <c r="S78">
        <v>64273.354561695298</v>
      </c>
    </row>
    <row r="79" spans="4:19" x14ac:dyDescent="0.25">
      <c r="D79">
        <v>8736</v>
      </c>
      <c r="E79">
        <v>5544.9513744890201</v>
      </c>
      <c r="G79">
        <v>8735.0059999999994</v>
      </c>
      <c r="H79">
        <v>6752.8203627726698</v>
      </c>
      <c r="I79">
        <v>34662.603788585802</v>
      </c>
      <c r="J79">
        <v>51993.9056828787</v>
      </c>
      <c r="L79">
        <v>8735.0059999999994</v>
      </c>
      <c r="M79">
        <v>412233.90856842301</v>
      </c>
      <c r="N79">
        <v>42241.830931504803</v>
      </c>
      <c r="O79">
        <v>596757.355808152</v>
      </c>
      <c r="P79">
        <v>142281.61630822299</v>
      </c>
      <c r="R79">
        <v>8735.0059999999994</v>
      </c>
      <c r="S79">
        <v>64276.7735616953</v>
      </c>
    </row>
    <row r="80" spans="4:19" x14ac:dyDescent="0.25">
      <c r="D80">
        <v>8737</v>
      </c>
      <c r="E80">
        <v>5545.9513744890201</v>
      </c>
      <c r="G80">
        <v>8736.0059999999994</v>
      </c>
      <c r="H80">
        <v>6752.82136277267</v>
      </c>
      <c r="I80">
        <v>34662.603788585802</v>
      </c>
      <c r="J80">
        <v>51993.9056828787</v>
      </c>
      <c r="L80">
        <v>8736.0059999999994</v>
      </c>
      <c r="M80">
        <v>412233.90856842301</v>
      </c>
      <c r="N80">
        <v>42246.665931504802</v>
      </c>
      <c r="O80">
        <v>596778.47780815198</v>
      </c>
      <c r="P80">
        <v>142297.903308223</v>
      </c>
      <c r="R80">
        <v>8736.0059999999994</v>
      </c>
      <c r="S80">
        <v>64276.772561695201</v>
      </c>
    </row>
    <row r="81" spans="4:19" x14ac:dyDescent="0.25">
      <c r="D81">
        <v>8738</v>
      </c>
      <c r="E81">
        <v>5546.9513744890201</v>
      </c>
      <c r="G81">
        <v>8737.0059999999994</v>
      </c>
      <c r="H81">
        <v>6754.6503627726697</v>
      </c>
      <c r="I81">
        <v>34662.603788585802</v>
      </c>
      <c r="J81">
        <v>51993.9056828787</v>
      </c>
      <c r="L81">
        <v>8737.0059999999994</v>
      </c>
      <c r="M81">
        <v>412233.90856842301</v>
      </c>
      <c r="N81">
        <v>42251.501931504798</v>
      </c>
      <c r="O81">
        <v>596799.59980815195</v>
      </c>
      <c r="P81">
        <v>142314.19030822301</v>
      </c>
      <c r="R81">
        <v>8737.0059999999994</v>
      </c>
      <c r="S81">
        <v>64275.201561695299</v>
      </c>
    </row>
    <row r="82" spans="4:19" x14ac:dyDescent="0.25">
      <c r="D82">
        <v>8739</v>
      </c>
      <c r="E82">
        <v>5547.9513744890201</v>
      </c>
      <c r="G82">
        <v>8738.0059999999994</v>
      </c>
      <c r="H82">
        <v>6756.7903627726701</v>
      </c>
      <c r="I82">
        <v>34662.603788585802</v>
      </c>
      <c r="J82">
        <v>51993.9056828787</v>
      </c>
      <c r="L82">
        <v>8738.0059999999994</v>
      </c>
      <c r="M82">
        <v>412233.90856842301</v>
      </c>
      <c r="N82">
        <v>42256.336931504797</v>
      </c>
      <c r="O82">
        <v>596820.72180815204</v>
      </c>
      <c r="P82">
        <v>142330.47730822299</v>
      </c>
      <c r="R82">
        <v>8738.0059999999994</v>
      </c>
      <c r="S82">
        <v>64273.297561695297</v>
      </c>
    </row>
    <row r="83" spans="4:19" x14ac:dyDescent="0.25">
      <c r="D83">
        <v>8740</v>
      </c>
      <c r="E83">
        <v>5548.9513744890201</v>
      </c>
      <c r="G83">
        <v>8739.0059999999994</v>
      </c>
      <c r="H83">
        <v>6759.7793627726696</v>
      </c>
      <c r="I83">
        <v>34662.603788585802</v>
      </c>
      <c r="J83">
        <v>51993.9056828787</v>
      </c>
      <c r="L83">
        <v>8739.0059999999994</v>
      </c>
      <c r="M83">
        <v>412233.90856842301</v>
      </c>
      <c r="N83">
        <v>42261.1729315048</v>
      </c>
      <c r="O83">
        <v>596841.84480815195</v>
      </c>
      <c r="P83">
        <v>142346.76330822299</v>
      </c>
      <c r="R83">
        <v>8739.0059999999994</v>
      </c>
      <c r="S83">
        <v>64270.6485616953</v>
      </c>
    </row>
    <row r="84" spans="4:19" x14ac:dyDescent="0.25">
      <c r="D84">
        <v>8741</v>
      </c>
      <c r="E84">
        <v>5549.9513744890201</v>
      </c>
      <c r="G84">
        <v>8740.0059999999994</v>
      </c>
      <c r="H84">
        <v>6763.1583627726704</v>
      </c>
      <c r="I84">
        <v>34662.603788585802</v>
      </c>
      <c r="J84">
        <v>51993.9056828787</v>
      </c>
      <c r="L84">
        <v>8740.0059999999994</v>
      </c>
      <c r="M84">
        <v>412233.90856842301</v>
      </c>
      <c r="N84">
        <v>42266.007931504799</v>
      </c>
      <c r="O84">
        <v>596862.96680815204</v>
      </c>
      <c r="P84">
        <v>142363.050308223</v>
      </c>
      <c r="R84">
        <v>8740.0059999999994</v>
      </c>
      <c r="S84">
        <v>64267.844561695201</v>
      </c>
    </row>
    <row r="85" spans="4:19" x14ac:dyDescent="0.25">
      <c r="D85">
        <v>8742</v>
      </c>
      <c r="E85">
        <v>5550.9513744890201</v>
      </c>
      <c r="G85">
        <v>8741.0059999999994</v>
      </c>
      <c r="H85">
        <v>6766.1953627726698</v>
      </c>
      <c r="I85">
        <v>34662.603788585802</v>
      </c>
      <c r="J85">
        <v>51993.9056828787</v>
      </c>
      <c r="L85">
        <v>8741.0059999999994</v>
      </c>
      <c r="M85">
        <v>412233.90856842301</v>
      </c>
      <c r="N85">
        <v>42270.842931504798</v>
      </c>
      <c r="O85">
        <v>596884.08880815201</v>
      </c>
      <c r="P85">
        <v>142379.33730822301</v>
      </c>
      <c r="R85">
        <v>8741.0059999999994</v>
      </c>
      <c r="S85">
        <v>64265.354561695298</v>
      </c>
    </row>
    <row r="86" spans="4:19" x14ac:dyDescent="0.25">
      <c r="D86">
        <v>8743</v>
      </c>
      <c r="E86">
        <v>5551.9513744890201</v>
      </c>
      <c r="G86">
        <v>8742.0059999999994</v>
      </c>
      <c r="H86">
        <v>6768.3293627726698</v>
      </c>
      <c r="I86">
        <v>34662.603788585802</v>
      </c>
      <c r="J86">
        <v>51993.9056828787</v>
      </c>
      <c r="L86">
        <v>8742.0059999999994</v>
      </c>
      <c r="M86">
        <v>412233.90856842301</v>
      </c>
      <c r="N86">
        <v>42275.678931504801</v>
      </c>
      <c r="O86">
        <v>596905.21080815198</v>
      </c>
      <c r="P86">
        <v>142395.62430822299</v>
      </c>
      <c r="R86">
        <v>8742.0059999999994</v>
      </c>
      <c r="S86">
        <v>64263.6485616953</v>
      </c>
    </row>
    <row r="87" spans="4:19" x14ac:dyDescent="0.25">
      <c r="D87">
        <v>8744</v>
      </c>
      <c r="E87">
        <v>5552.9513744890201</v>
      </c>
      <c r="G87">
        <v>8743.0059999999994</v>
      </c>
      <c r="H87">
        <v>6768.8713627726702</v>
      </c>
      <c r="I87">
        <v>34662.603788585802</v>
      </c>
      <c r="J87">
        <v>51993.9056828787</v>
      </c>
      <c r="L87">
        <v>8743.0059999999994</v>
      </c>
      <c r="M87">
        <v>412233.90856842301</v>
      </c>
      <c r="N87">
        <v>42280.5139315048</v>
      </c>
      <c r="O87">
        <v>596926.33280815196</v>
      </c>
      <c r="P87">
        <v>142411.911308223</v>
      </c>
      <c r="R87">
        <v>8743.0059999999994</v>
      </c>
      <c r="S87">
        <v>64263.2155616952</v>
      </c>
    </row>
    <row r="88" spans="4:19" x14ac:dyDescent="0.25">
      <c r="D88">
        <v>8745</v>
      </c>
      <c r="E88">
        <v>5553.8093744890202</v>
      </c>
      <c r="G88">
        <v>8744.0059999999994</v>
      </c>
      <c r="H88">
        <v>6768.8713627726702</v>
      </c>
      <c r="I88">
        <v>34662.603788585802</v>
      </c>
      <c r="J88">
        <v>51993.9056828787</v>
      </c>
      <c r="L88">
        <v>8744.0059999999994</v>
      </c>
      <c r="M88">
        <v>412243.73756842298</v>
      </c>
      <c r="N88">
        <v>42285.348931504799</v>
      </c>
      <c r="O88">
        <v>596957.28480815201</v>
      </c>
      <c r="P88">
        <v>142428.197308223</v>
      </c>
      <c r="R88">
        <v>8744.0059999999994</v>
      </c>
      <c r="S88">
        <v>64264.981561695298</v>
      </c>
    </row>
    <row r="89" spans="4:19" x14ac:dyDescent="0.25">
      <c r="D89">
        <v>8746</v>
      </c>
      <c r="E89">
        <v>5554.6483744890202</v>
      </c>
      <c r="G89">
        <v>8745.0059999999994</v>
      </c>
      <c r="H89">
        <v>6768.8713627726702</v>
      </c>
      <c r="I89">
        <v>34662.603788585802</v>
      </c>
      <c r="J89">
        <v>51993.9056828787</v>
      </c>
      <c r="L89">
        <v>8745.0059999999994</v>
      </c>
      <c r="M89">
        <v>412255.48256842297</v>
      </c>
      <c r="N89">
        <v>42290.184931504802</v>
      </c>
      <c r="O89">
        <v>596990.15180815198</v>
      </c>
      <c r="P89">
        <v>142444.48430822301</v>
      </c>
      <c r="R89">
        <v>8745.0059999999994</v>
      </c>
      <c r="S89">
        <v>64267.127561695299</v>
      </c>
    </row>
    <row r="90" spans="4:19" x14ac:dyDescent="0.25">
      <c r="D90">
        <v>8747</v>
      </c>
      <c r="E90">
        <v>5555.5043744890199</v>
      </c>
      <c r="G90">
        <v>8746.0059999999994</v>
      </c>
      <c r="H90">
        <v>6768.8713627726702</v>
      </c>
      <c r="I90">
        <v>34662.603788585802</v>
      </c>
      <c r="J90">
        <v>51993.9056828787</v>
      </c>
      <c r="L90">
        <v>8746.0059999999994</v>
      </c>
      <c r="M90">
        <v>412265.95156842301</v>
      </c>
      <c r="N90">
        <v>42295.019931504801</v>
      </c>
      <c r="O90">
        <v>597021.74280815199</v>
      </c>
      <c r="P90">
        <v>142460.77130822299</v>
      </c>
      <c r="R90">
        <v>8746.0059999999994</v>
      </c>
      <c r="S90">
        <v>64268.990561695296</v>
      </c>
    </row>
    <row r="91" spans="4:19" x14ac:dyDescent="0.25">
      <c r="D91">
        <v>8748</v>
      </c>
      <c r="E91">
        <v>5556.2933744890197</v>
      </c>
      <c r="G91">
        <v>8747.0059999999994</v>
      </c>
      <c r="H91">
        <v>6768.8713627726702</v>
      </c>
      <c r="I91">
        <v>34662.603788585802</v>
      </c>
      <c r="J91">
        <v>51993.9056828787</v>
      </c>
      <c r="L91">
        <v>8747.0059999999994</v>
      </c>
      <c r="M91">
        <v>412282.431568423</v>
      </c>
      <c r="N91">
        <v>42299.855931504797</v>
      </c>
      <c r="O91">
        <v>597059.34580815199</v>
      </c>
      <c r="P91">
        <v>142477.058308223</v>
      </c>
      <c r="R91">
        <v>8747.0059999999994</v>
      </c>
      <c r="S91">
        <v>64271.952561695201</v>
      </c>
    </row>
    <row r="92" spans="4:19" x14ac:dyDescent="0.25">
      <c r="D92">
        <v>8749</v>
      </c>
      <c r="E92">
        <v>5557.1553744890198</v>
      </c>
      <c r="G92">
        <v>8748.0059999999994</v>
      </c>
      <c r="H92">
        <v>6768.8713627726702</v>
      </c>
      <c r="I92">
        <v>34663.006788585801</v>
      </c>
      <c r="J92">
        <v>51994.510682878703</v>
      </c>
      <c r="L92">
        <v>8748.0059999999994</v>
      </c>
      <c r="M92">
        <v>412295.49556842301</v>
      </c>
      <c r="N92">
        <v>42304.690931504803</v>
      </c>
      <c r="O92">
        <v>597093.53080815205</v>
      </c>
      <c r="P92">
        <v>142493.34530822301</v>
      </c>
      <c r="R92">
        <v>8748.0059999999994</v>
      </c>
      <c r="S92">
        <v>64274.004561695299</v>
      </c>
    </row>
    <row r="93" spans="4:19" x14ac:dyDescent="0.25">
      <c r="D93">
        <v>8750</v>
      </c>
      <c r="E93">
        <v>5557.9843744890204</v>
      </c>
      <c r="G93">
        <v>8749.0059999999994</v>
      </c>
      <c r="H93">
        <v>6768.8713627726702</v>
      </c>
      <c r="I93">
        <v>34663.006788585801</v>
      </c>
      <c r="J93">
        <v>51994.510682878703</v>
      </c>
      <c r="L93">
        <v>8749.0059999999994</v>
      </c>
      <c r="M93">
        <v>412309.62956842303</v>
      </c>
      <c r="N93">
        <v>42309.525931504802</v>
      </c>
      <c r="O93">
        <v>597128.78780815203</v>
      </c>
      <c r="P93">
        <v>142509.63230822299</v>
      </c>
      <c r="R93">
        <v>8749.0059999999994</v>
      </c>
      <c r="S93">
        <v>64276.474561695199</v>
      </c>
    </row>
    <row r="94" spans="4:19" x14ac:dyDescent="0.25">
      <c r="D94">
        <v>8751</v>
      </c>
      <c r="E94">
        <v>5558.8213744890199</v>
      </c>
      <c r="G94">
        <v>8750.0059999999994</v>
      </c>
      <c r="H94">
        <v>6768.8713627726702</v>
      </c>
      <c r="I94">
        <v>34663.023788585801</v>
      </c>
      <c r="J94">
        <v>51994.535682878697</v>
      </c>
      <c r="L94">
        <v>8750.0059999999994</v>
      </c>
      <c r="M94">
        <v>412323.59356842301</v>
      </c>
      <c r="N94">
        <v>42314.361931504798</v>
      </c>
      <c r="O94">
        <v>597163.87380815204</v>
      </c>
      <c r="P94">
        <v>142525.91830822299</v>
      </c>
      <c r="R94">
        <v>8750.0059999999994</v>
      </c>
      <c r="S94">
        <v>64278.894561695299</v>
      </c>
    </row>
    <row r="95" spans="4:19" x14ac:dyDescent="0.25">
      <c r="D95">
        <v>8752</v>
      </c>
      <c r="E95">
        <v>5559.6363744890205</v>
      </c>
      <c r="G95">
        <v>8751.0059999999994</v>
      </c>
      <c r="H95">
        <v>6768.8713627726702</v>
      </c>
      <c r="I95">
        <v>34663.148788585801</v>
      </c>
      <c r="J95">
        <v>51994.723682878699</v>
      </c>
      <c r="L95">
        <v>8751.0059999999994</v>
      </c>
      <c r="M95">
        <v>412341.08056842303</v>
      </c>
      <c r="N95">
        <v>42319.196931504797</v>
      </c>
      <c r="O95">
        <v>597202.48280815198</v>
      </c>
      <c r="P95">
        <v>142542.205308223</v>
      </c>
      <c r="R95">
        <v>8751.0059999999994</v>
      </c>
      <c r="S95">
        <v>64281.602561695297</v>
      </c>
    </row>
    <row r="96" spans="4:19" x14ac:dyDescent="0.25">
      <c r="D96">
        <v>8753</v>
      </c>
      <c r="E96">
        <v>5560.3453744890203</v>
      </c>
      <c r="G96">
        <v>8752.0059999999994</v>
      </c>
      <c r="H96">
        <v>6768.8713627726702</v>
      </c>
      <c r="I96">
        <v>34663.148788585801</v>
      </c>
      <c r="J96">
        <v>51994.723682878699</v>
      </c>
      <c r="L96">
        <v>8752.0059999999994</v>
      </c>
      <c r="M96">
        <v>412373.41356842301</v>
      </c>
      <c r="N96">
        <v>42324.031931504796</v>
      </c>
      <c r="O96">
        <v>597255.93880815199</v>
      </c>
      <c r="P96">
        <v>142558.49230822301</v>
      </c>
      <c r="R96">
        <v>8752.0059999999994</v>
      </c>
      <c r="S96">
        <v>64286.668561695296</v>
      </c>
    </row>
    <row r="97" spans="4:19" x14ac:dyDescent="0.25">
      <c r="D97">
        <v>8754</v>
      </c>
      <c r="E97">
        <v>5560.9363744890197</v>
      </c>
      <c r="G97">
        <v>8753.0059999999994</v>
      </c>
      <c r="H97">
        <v>6768.8713627726702</v>
      </c>
      <c r="I97">
        <v>34663.162788585803</v>
      </c>
      <c r="J97">
        <v>51994.7446828787</v>
      </c>
      <c r="L97">
        <v>8753.0059999999994</v>
      </c>
      <c r="M97">
        <v>412429.38356842299</v>
      </c>
      <c r="N97">
        <v>42328.867931504799</v>
      </c>
      <c r="O97">
        <v>597333.03080815205</v>
      </c>
      <c r="P97">
        <v>142574.77930822299</v>
      </c>
      <c r="R97">
        <v>8753.0059999999994</v>
      </c>
      <c r="S97">
        <v>64295.647561695201</v>
      </c>
    </row>
    <row r="98" spans="4:19" x14ac:dyDescent="0.25">
      <c r="D98">
        <v>8755</v>
      </c>
      <c r="E98">
        <v>5561.5333744890204</v>
      </c>
      <c r="G98">
        <v>8754.0059999999994</v>
      </c>
      <c r="H98">
        <v>6768.8713627726702</v>
      </c>
      <c r="I98">
        <v>34663.171788585802</v>
      </c>
      <c r="J98">
        <v>51994.757682878699</v>
      </c>
      <c r="L98">
        <v>8754.0059999999994</v>
      </c>
      <c r="M98">
        <v>412483.045568423</v>
      </c>
      <c r="N98">
        <v>42333.702931504798</v>
      </c>
      <c r="O98">
        <v>597407.81480815203</v>
      </c>
      <c r="P98">
        <v>142591.066308223</v>
      </c>
      <c r="R98">
        <v>8754.0059999999994</v>
      </c>
      <c r="S98">
        <v>64304.089561695298</v>
      </c>
    </row>
    <row r="99" spans="4:19" x14ac:dyDescent="0.25">
      <c r="D99">
        <v>8756</v>
      </c>
      <c r="E99">
        <v>5562.2783744890203</v>
      </c>
      <c r="G99">
        <v>8755.0059999999994</v>
      </c>
      <c r="H99">
        <v>6768.8713627726702</v>
      </c>
      <c r="I99">
        <v>34663.176788585799</v>
      </c>
      <c r="J99">
        <v>51994.764682878696</v>
      </c>
      <c r="L99">
        <v>8755.0059999999994</v>
      </c>
      <c r="M99">
        <v>412509.12956842303</v>
      </c>
      <c r="N99">
        <v>42338.538931504801</v>
      </c>
      <c r="O99">
        <v>597455.02080815204</v>
      </c>
      <c r="P99">
        <v>142607.35230822299</v>
      </c>
      <c r="R99">
        <v>8755.0059999999994</v>
      </c>
      <c r="S99">
        <v>64307.848561695297</v>
      </c>
    </row>
    <row r="100" spans="4:19" x14ac:dyDescent="0.25">
      <c r="D100">
        <v>8757</v>
      </c>
      <c r="E100">
        <v>5562.9673744890197</v>
      </c>
      <c r="G100">
        <v>8756.0059999999994</v>
      </c>
      <c r="H100">
        <v>6768.8713627726702</v>
      </c>
      <c r="I100">
        <v>34663.181788585804</v>
      </c>
      <c r="J100">
        <v>51994.772682878698</v>
      </c>
      <c r="L100">
        <v>8756.0059999999994</v>
      </c>
      <c r="M100">
        <v>412542.38956842298</v>
      </c>
      <c r="N100">
        <v>42343.373931504801</v>
      </c>
      <c r="O100">
        <v>597509.40380815195</v>
      </c>
      <c r="P100">
        <v>142623.63930822301</v>
      </c>
      <c r="R100">
        <v>8756.0059999999994</v>
      </c>
      <c r="S100">
        <v>64312.615561695296</v>
      </c>
    </row>
    <row r="101" spans="4:19" x14ac:dyDescent="0.25">
      <c r="D101">
        <v>8758</v>
      </c>
      <c r="E101">
        <v>5563.8063744890196</v>
      </c>
      <c r="G101">
        <v>8757.0059999999994</v>
      </c>
      <c r="H101">
        <v>6768.8713627726702</v>
      </c>
      <c r="I101">
        <v>34663.181788585804</v>
      </c>
      <c r="J101">
        <v>51994.772682878698</v>
      </c>
      <c r="L101">
        <v>8757.0059999999994</v>
      </c>
      <c r="M101">
        <v>412556.235568423</v>
      </c>
      <c r="N101">
        <v>42348.2089315048</v>
      </c>
      <c r="O101">
        <v>597544.37180815195</v>
      </c>
      <c r="P101">
        <v>142639.92630822299</v>
      </c>
      <c r="R101">
        <v>8757.0059999999994</v>
      </c>
      <c r="S101">
        <v>64314.575561695201</v>
      </c>
    </row>
    <row r="102" spans="4:19" x14ac:dyDescent="0.25">
      <c r="D102">
        <v>8759</v>
      </c>
      <c r="E102">
        <v>5564.6783744890199</v>
      </c>
      <c r="G102">
        <v>8758.0059999999994</v>
      </c>
      <c r="H102">
        <v>6768.8713627726702</v>
      </c>
      <c r="I102">
        <v>34663.181788585804</v>
      </c>
      <c r="J102">
        <v>51994.772682878698</v>
      </c>
      <c r="L102">
        <v>8758.0059999999994</v>
      </c>
      <c r="M102">
        <v>412566.072568423</v>
      </c>
      <c r="N102">
        <v>42353.044931504803</v>
      </c>
      <c r="O102">
        <v>597575.32980815205</v>
      </c>
      <c r="P102">
        <v>142656.213308223</v>
      </c>
      <c r="R102">
        <v>8758.0059999999994</v>
      </c>
      <c r="S102">
        <v>64316.003561695201</v>
      </c>
    </row>
    <row r="103" spans="4:19" x14ac:dyDescent="0.25">
      <c r="D103">
        <v>8760</v>
      </c>
      <c r="E103">
        <v>5565.6693744890199</v>
      </c>
      <c r="G103">
        <v>8759.0059999999994</v>
      </c>
      <c r="H103">
        <v>6768.8713627726702</v>
      </c>
      <c r="I103">
        <v>34663.186788585801</v>
      </c>
      <c r="J103">
        <v>51994.7806828787</v>
      </c>
      <c r="L103">
        <v>8759.0059999999994</v>
      </c>
      <c r="M103">
        <v>412566.659568423</v>
      </c>
      <c r="N103">
        <v>42357.879931504802</v>
      </c>
      <c r="O103">
        <v>597597.03880815196</v>
      </c>
      <c r="P103">
        <v>142672.50030822301</v>
      </c>
      <c r="R103">
        <v>8759.0059999999994</v>
      </c>
      <c r="S103">
        <v>64316.093561695299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758D-A3C2-4BC8-8DD8-48DE80E84AB1}">
  <dimension ref="A1:U103"/>
  <sheetViews>
    <sheetView workbookViewId="0">
      <selection activeCell="A8" sqref="A8"/>
    </sheetView>
  </sheetViews>
  <sheetFormatPr defaultRowHeight="15" x14ac:dyDescent="0.25"/>
  <cols>
    <col min="1" max="1" width="26.85546875" customWidth="1"/>
  </cols>
  <sheetData>
    <row r="1" spans="1:21" x14ac:dyDescent="0.25">
      <c r="A1" t="s">
        <v>277</v>
      </c>
    </row>
    <row r="2" spans="1:21" x14ac:dyDescent="0.25">
      <c r="A2" s="1">
        <v>230112.91800000001</v>
      </c>
    </row>
    <row r="3" spans="1:21" x14ac:dyDescent="0.25">
      <c r="A3" t="s">
        <v>278</v>
      </c>
      <c r="G3" t="s">
        <v>275</v>
      </c>
      <c r="J3" t="s">
        <v>62</v>
      </c>
      <c r="K3" t="s">
        <v>63</v>
      </c>
      <c r="L3" t="s">
        <v>64</v>
      </c>
      <c r="O3" t="s">
        <v>39</v>
      </c>
      <c r="P3" t="s">
        <v>40</v>
      </c>
      <c r="Q3" t="s">
        <v>41</v>
      </c>
      <c r="R3" t="s">
        <v>61</v>
      </c>
      <c r="U3" t="s">
        <v>42</v>
      </c>
    </row>
    <row r="4" spans="1:21" x14ac:dyDescent="0.25">
      <c r="A4" s="1">
        <v>14642.546</v>
      </c>
      <c r="F4">
        <v>8661</v>
      </c>
      <c r="G4">
        <v>6126.5029696122301</v>
      </c>
      <c r="I4">
        <v>8660.0059999999994</v>
      </c>
      <c r="J4">
        <v>22896.9646364939</v>
      </c>
      <c r="K4">
        <v>155170.294990366</v>
      </c>
      <c r="L4">
        <v>232755.44248554899</v>
      </c>
      <c r="N4">
        <v>8660.0059999999994</v>
      </c>
      <c r="O4">
        <v>143002.106837759</v>
      </c>
      <c r="P4">
        <v>181065.85752738599</v>
      </c>
      <c r="Q4">
        <v>465128.069673369</v>
      </c>
      <c r="R4">
        <v>141060.10530822299</v>
      </c>
      <c r="T4">
        <v>8660.0059999999994</v>
      </c>
      <c r="U4">
        <v>-76685.429016907307</v>
      </c>
    </row>
    <row r="5" spans="1:21" x14ac:dyDescent="0.25">
      <c r="A5" t="s">
        <v>280</v>
      </c>
      <c r="F5">
        <v>8662</v>
      </c>
      <c r="G5">
        <v>6126.95796961223</v>
      </c>
      <c r="I5">
        <v>8661.0059999999994</v>
      </c>
      <c r="J5">
        <v>22896.9646364939</v>
      </c>
      <c r="K5">
        <v>155170.294990366</v>
      </c>
      <c r="L5">
        <v>232755.44248554899</v>
      </c>
      <c r="N5">
        <v>8661.0059999999994</v>
      </c>
      <c r="O5">
        <v>143043.54483775899</v>
      </c>
      <c r="P5">
        <v>181086.76352738601</v>
      </c>
      <c r="Q5">
        <v>465206.699673369</v>
      </c>
      <c r="R5">
        <v>141076.392308223</v>
      </c>
      <c r="T5">
        <v>8661.0059999999994</v>
      </c>
      <c r="U5">
        <v>-76674.286016907296</v>
      </c>
    </row>
    <row r="6" spans="1:21" x14ac:dyDescent="0.25">
      <c r="A6" s="1">
        <v>22993.057000000001</v>
      </c>
      <c r="F6">
        <v>8663</v>
      </c>
      <c r="G6">
        <v>6127.5949696122298</v>
      </c>
      <c r="I6">
        <v>8662.0059999999994</v>
      </c>
      <c r="J6">
        <v>22896.9646364939</v>
      </c>
      <c r="K6">
        <v>155170.294990366</v>
      </c>
      <c r="L6">
        <v>232755.44248554899</v>
      </c>
      <c r="N6">
        <v>8662.0059999999994</v>
      </c>
      <c r="O6">
        <v>143063.527837759</v>
      </c>
      <c r="P6">
        <v>181107.669527386</v>
      </c>
      <c r="Q6">
        <v>465263.87567336898</v>
      </c>
      <c r="R6">
        <v>141092.67930822301</v>
      </c>
      <c r="T6">
        <v>8662.0059999999994</v>
      </c>
      <c r="U6">
        <v>-76668.722016907297</v>
      </c>
    </row>
    <row r="7" spans="1:21" x14ac:dyDescent="0.25">
      <c r="A7" t="s">
        <v>274</v>
      </c>
      <c r="F7">
        <v>8664</v>
      </c>
      <c r="G7">
        <v>6128.4199696122296</v>
      </c>
      <c r="I7">
        <v>8663.0059999999994</v>
      </c>
      <c r="J7">
        <v>22896.9646364939</v>
      </c>
      <c r="K7">
        <v>155170.294990366</v>
      </c>
      <c r="L7">
        <v>232755.44248554899</v>
      </c>
      <c r="N7">
        <v>8663.0059999999994</v>
      </c>
      <c r="O7">
        <v>143071.26883775901</v>
      </c>
      <c r="P7">
        <v>181128.57552738601</v>
      </c>
      <c r="Q7">
        <v>465308.80967336899</v>
      </c>
      <c r="R7">
        <v>141108.96530822301</v>
      </c>
      <c r="T7">
        <v>8663.0059999999994</v>
      </c>
      <c r="U7">
        <v>-76667.091016907303</v>
      </c>
    </row>
    <row r="8" spans="1:21" x14ac:dyDescent="0.25">
      <c r="A8" s="1">
        <v>6204.3919999999998</v>
      </c>
      <c r="F8">
        <v>8665</v>
      </c>
      <c r="G8">
        <v>6129.3269696122297</v>
      </c>
      <c r="I8">
        <v>8664.0059999999994</v>
      </c>
      <c r="J8">
        <v>22896.9646364939</v>
      </c>
      <c r="K8">
        <v>155170.294990366</v>
      </c>
      <c r="L8">
        <v>232755.44248554899</v>
      </c>
      <c r="N8">
        <v>8664.0059999999994</v>
      </c>
      <c r="O8">
        <v>143074.95383775901</v>
      </c>
      <c r="P8">
        <v>181149.481527386</v>
      </c>
      <c r="Q8">
        <v>465349.68667336903</v>
      </c>
      <c r="R8">
        <v>141125.25230822299</v>
      </c>
      <c r="T8">
        <v>8664.0059999999994</v>
      </c>
      <c r="U8">
        <v>-76666.361016907307</v>
      </c>
    </row>
    <row r="9" spans="1:21" x14ac:dyDescent="0.25">
      <c r="A9" t="s">
        <v>281</v>
      </c>
      <c r="F9">
        <v>8666</v>
      </c>
      <c r="G9">
        <v>6130.3269696122297</v>
      </c>
      <c r="I9">
        <v>8665.0059999999994</v>
      </c>
      <c r="J9">
        <v>22898.111636493999</v>
      </c>
      <c r="K9">
        <v>155170.294990366</v>
      </c>
      <c r="L9">
        <v>232755.44248554899</v>
      </c>
      <c r="N9">
        <v>8665.0059999999994</v>
      </c>
      <c r="O9">
        <v>143074.95383775901</v>
      </c>
      <c r="P9">
        <v>181170.386527386</v>
      </c>
      <c r="Q9">
        <v>465386.879673369</v>
      </c>
      <c r="R9">
        <v>141141.539308223</v>
      </c>
      <c r="T9">
        <v>8665.0059999999994</v>
      </c>
      <c r="U9">
        <v>-76667.607016907306</v>
      </c>
    </row>
    <row r="10" spans="1:21" x14ac:dyDescent="0.25">
      <c r="A10" s="1">
        <v>142688.78700000001</v>
      </c>
      <c r="F10">
        <v>8667</v>
      </c>
      <c r="G10">
        <v>6131.3269696122297</v>
      </c>
      <c r="I10">
        <v>8666.0059999999994</v>
      </c>
      <c r="J10">
        <v>22899.937636494</v>
      </c>
      <c r="K10">
        <v>155170.294990366</v>
      </c>
      <c r="L10">
        <v>232755.44248554899</v>
      </c>
      <c r="N10">
        <v>8666.0059999999994</v>
      </c>
      <c r="O10">
        <v>143074.95383775901</v>
      </c>
      <c r="P10">
        <v>181191.29252738599</v>
      </c>
      <c r="Q10">
        <v>465424.07267336902</v>
      </c>
      <c r="R10">
        <v>141157.82630822301</v>
      </c>
      <c r="T10">
        <v>8666.0059999999994</v>
      </c>
      <c r="U10">
        <v>-76669.563016907297</v>
      </c>
    </row>
    <row r="11" spans="1:21" x14ac:dyDescent="0.25">
      <c r="F11">
        <v>8668</v>
      </c>
      <c r="G11">
        <v>6132.3269696122297</v>
      </c>
      <c r="I11">
        <v>8667.0059999999994</v>
      </c>
      <c r="J11">
        <v>22902.268636493998</v>
      </c>
      <c r="K11">
        <v>155170.294990366</v>
      </c>
      <c r="L11">
        <v>232755.44248554899</v>
      </c>
      <c r="N11">
        <v>8667.0059999999994</v>
      </c>
      <c r="O11">
        <v>143074.95383775901</v>
      </c>
      <c r="P11">
        <v>181212.198527386</v>
      </c>
      <c r="Q11">
        <v>465461.26567336899</v>
      </c>
      <c r="R11">
        <v>141174.11330822299</v>
      </c>
      <c r="T11">
        <v>8667.0059999999994</v>
      </c>
      <c r="U11">
        <v>-76672.140016907302</v>
      </c>
    </row>
    <row r="12" spans="1:21" x14ac:dyDescent="0.25">
      <c r="F12">
        <v>8669</v>
      </c>
      <c r="G12">
        <v>6133.3269696122297</v>
      </c>
      <c r="I12">
        <v>8668.0059999999994</v>
      </c>
      <c r="J12">
        <v>22903.742636493898</v>
      </c>
      <c r="K12">
        <v>155170.297990366</v>
      </c>
      <c r="L12">
        <v>232755.44648554901</v>
      </c>
      <c r="N12">
        <v>8668.0059999999994</v>
      </c>
      <c r="O12">
        <v>143074.95083775901</v>
      </c>
      <c r="P12">
        <v>181233.10452738599</v>
      </c>
      <c r="Q12">
        <v>465498.455673369</v>
      </c>
      <c r="R12">
        <v>141190.400308223</v>
      </c>
      <c r="T12">
        <v>8668.0059999999994</v>
      </c>
      <c r="U12">
        <v>-76675.124016907299</v>
      </c>
    </row>
    <row r="13" spans="1:21" x14ac:dyDescent="0.25">
      <c r="F13">
        <v>8670</v>
      </c>
      <c r="G13">
        <v>6134.3269696122297</v>
      </c>
      <c r="I13">
        <v>8669.0059999999994</v>
      </c>
      <c r="J13">
        <v>22903.790636493999</v>
      </c>
      <c r="K13">
        <v>155170.297990366</v>
      </c>
      <c r="L13">
        <v>232755.44648554901</v>
      </c>
      <c r="N13">
        <v>8669.0059999999994</v>
      </c>
      <c r="O13">
        <v>143074.95083775901</v>
      </c>
      <c r="P13">
        <v>181254.01052738601</v>
      </c>
      <c r="Q13">
        <v>465535.64767336898</v>
      </c>
      <c r="R13">
        <v>141206.686308223</v>
      </c>
      <c r="T13">
        <v>8669.0059999999994</v>
      </c>
      <c r="U13">
        <v>-76678.089016907295</v>
      </c>
    </row>
    <row r="14" spans="1:21" x14ac:dyDescent="0.25">
      <c r="A14">
        <f>A8/8760 *100</f>
        <v>70.826392694063927</v>
      </c>
      <c r="F14">
        <v>8671</v>
      </c>
      <c r="G14">
        <v>6135.3269696122297</v>
      </c>
      <c r="I14">
        <v>8670.0059999999994</v>
      </c>
      <c r="J14">
        <v>22903.804636493998</v>
      </c>
      <c r="K14">
        <v>155170.297990366</v>
      </c>
      <c r="L14">
        <v>232755.44648554901</v>
      </c>
      <c r="N14">
        <v>8670.0059999999994</v>
      </c>
      <c r="O14">
        <v>143074.95083775901</v>
      </c>
      <c r="P14">
        <v>181274.916527386</v>
      </c>
      <c r="Q14">
        <v>465572.84067336901</v>
      </c>
      <c r="R14">
        <v>141222.97330822301</v>
      </c>
      <c r="T14">
        <v>8670.0059999999994</v>
      </c>
      <c r="U14">
        <v>-76680.638016907295</v>
      </c>
    </row>
    <row r="15" spans="1:21" x14ac:dyDescent="0.25">
      <c r="F15">
        <v>8672</v>
      </c>
      <c r="G15">
        <v>6136.3269696122297</v>
      </c>
      <c r="I15">
        <v>8671.0059999999994</v>
      </c>
      <c r="J15">
        <v>22903.831636493898</v>
      </c>
      <c r="K15">
        <v>155170.297990366</v>
      </c>
      <c r="L15">
        <v>232755.44648554901</v>
      </c>
      <c r="N15">
        <v>8671.0059999999994</v>
      </c>
      <c r="O15">
        <v>143074.95083775901</v>
      </c>
      <c r="P15">
        <v>181295.82252738599</v>
      </c>
      <c r="Q15">
        <v>465610.03367336898</v>
      </c>
      <c r="R15">
        <v>141239.26030822299</v>
      </c>
      <c r="T15">
        <v>8671.0059999999994</v>
      </c>
      <c r="U15">
        <v>-76682.449016907296</v>
      </c>
    </row>
    <row r="16" spans="1:21" x14ac:dyDescent="0.25">
      <c r="F16">
        <v>8673</v>
      </c>
      <c r="G16">
        <v>6137.3269696122297</v>
      </c>
      <c r="I16">
        <v>8672.0059999999994</v>
      </c>
      <c r="J16">
        <v>22903.831636493898</v>
      </c>
      <c r="K16">
        <v>155170.297990366</v>
      </c>
      <c r="L16">
        <v>232755.44648554901</v>
      </c>
      <c r="N16">
        <v>8672.0059999999994</v>
      </c>
      <c r="O16">
        <v>143074.98583775901</v>
      </c>
      <c r="P16">
        <v>181316.728527386</v>
      </c>
      <c r="Q16">
        <v>465647.26067336899</v>
      </c>
      <c r="R16">
        <v>141255.547308223</v>
      </c>
      <c r="T16">
        <v>8672.0059999999994</v>
      </c>
      <c r="U16">
        <v>-76682.441016907294</v>
      </c>
    </row>
    <row r="17" spans="6:21" x14ac:dyDescent="0.25">
      <c r="F17">
        <v>8674</v>
      </c>
      <c r="G17">
        <v>6138.1249696122304</v>
      </c>
      <c r="I17">
        <v>8673.0059999999994</v>
      </c>
      <c r="J17">
        <v>22903.831636493898</v>
      </c>
      <c r="K17">
        <v>155170.297990366</v>
      </c>
      <c r="L17">
        <v>232755.44648554901</v>
      </c>
      <c r="N17">
        <v>8673.0059999999994</v>
      </c>
      <c r="O17">
        <v>143085.266837759</v>
      </c>
      <c r="P17">
        <v>181337.633527386</v>
      </c>
      <c r="Q17">
        <v>465694.73467336898</v>
      </c>
      <c r="R17">
        <v>141271.83430822301</v>
      </c>
      <c r="T17">
        <v>8673.0059999999994</v>
      </c>
      <c r="U17">
        <v>-76680.175016907306</v>
      </c>
    </row>
    <row r="18" spans="6:21" x14ac:dyDescent="0.25">
      <c r="F18">
        <v>8675</v>
      </c>
      <c r="G18">
        <v>6138.9529696122299</v>
      </c>
      <c r="I18">
        <v>8674.0059999999994</v>
      </c>
      <c r="J18">
        <v>22903.831636493898</v>
      </c>
      <c r="K18">
        <v>155170.33199036599</v>
      </c>
      <c r="L18">
        <v>232755.49748554901</v>
      </c>
      <c r="N18">
        <v>8674.0059999999994</v>
      </c>
      <c r="O18">
        <v>143095.31683775899</v>
      </c>
      <c r="P18">
        <v>181358.53952738599</v>
      </c>
      <c r="Q18">
        <v>465741.97767336899</v>
      </c>
      <c r="R18">
        <v>141288.12030822301</v>
      </c>
      <c r="T18">
        <v>8674.0059999999994</v>
      </c>
      <c r="U18">
        <v>-76677.798016907298</v>
      </c>
    </row>
    <row r="19" spans="6:21" x14ac:dyDescent="0.25">
      <c r="F19">
        <v>8676</v>
      </c>
      <c r="G19">
        <v>6139.9529696122299</v>
      </c>
      <c r="I19">
        <v>8675.0059999999994</v>
      </c>
      <c r="J19">
        <v>22903.918636494</v>
      </c>
      <c r="K19">
        <v>155170.71999036599</v>
      </c>
      <c r="L19">
        <v>232756.080485549</v>
      </c>
      <c r="N19">
        <v>8675.0059999999994</v>
      </c>
      <c r="O19">
        <v>143094.92883775901</v>
      </c>
      <c r="P19">
        <v>181379.44552738601</v>
      </c>
      <c r="Q19">
        <v>465778.781673369</v>
      </c>
      <c r="R19">
        <v>141304.40730822299</v>
      </c>
      <c r="T19">
        <v>8675.0059999999994</v>
      </c>
      <c r="U19">
        <v>-76678.355016907299</v>
      </c>
    </row>
    <row r="20" spans="6:21" x14ac:dyDescent="0.25">
      <c r="F20">
        <v>8677</v>
      </c>
      <c r="G20">
        <v>6140.9529696122299</v>
      </c>
      <c r="I20">
        <v>8676.0059999999994</v>
      </c>
      <c r="J20">
        <v>22905.849636493898</v>
      </c>
      <c r="K20">
        <v>155171.27699036599</v>
      </c>
      <c r="L20">
        <v>232756.914485549</v>
      </c>
      <c r="N20">
        <v>8676.0059999999994</v>
      </c>
      <c r="O20">
        <v>143094.37183775901</v>
      </c>
      <c r="P20">
        <v>181400.351527386</v>
      </c>
      <c r="Q20">
        <v>465815.41867336899</v>
      </c>
      <c r="R20">
        <v>141320.694308223</v>
      </c>
      <c r="T20">
        <v>8676.0059999999994</v>
      </c>
      <c r="U20">
        <v>-76681.654016907298</v>
      </c>
    </row>
    <row r="21" spans="6:21" x14ac:dyDescent="0.25">
      <c r="F21">
        <v>8678</v>
      </c>
      <c r="G21">
        <v>6141.9529696122299</v>
      </c>
      <c r="I21">
        <v>8677.0059999999994</v>
      </c>
      <c r="J21">
        <v>22907.297636493899</v>
      </c>
      <c r="K21">
        <v>155172.38099036599</v>
      </c>
      <c r="L21">
        <v>232758.57148554901</v>
      </c>
      <c r="N21">
        <v>8677.0059999999994</v>
      </c>
      <c r="O21">
        <v>143093.26783775899</v>
      </c>
      <c r="P21">
        <v>181421.25752738601</v>
      </c>
      <c r="Q21">
        <v>465851.50667336897</v>
      </c>
      <c r="R21">
        <v>141336.98130822301</v>
      </c>
      <c r="T21">
        <v>8677.0059999999994</v>
      </c>
      <c r="U21">
        <v>-76684.962016907302</v>
      </c>
    </row>
    <row r="22" spans="6:21" x14ac:dyDescent="0.25">
      <c r="F22">
        <v>8679</v>
      </c>
      <c r="G22">
        <v>6142.9529696122299</v>
      </c>
      <c r="I22">
        <v>8678.0059999999994</v>
      </c>
      <c r="J22">
        <v>22908.122636493899</v>
      </c>
      <c r="K22">
        <v>155173.08699036599</v>
      </c>
      <c r="L22">
        <v>232759.629485549</v>
      </c>
      <c r="N22">
        <v>8678.0059999999994</v>
      </c>
      <c r="O22">
        <v>143092.56183775901</v>
      </c>
      <c r="P22">
        <v>181442.163527386</v>
      </c>
      <c r="Q22">
        <v>465887.993673369</v>
      </c>
      <c r="R22">
        <v>141353.26830822299</v>
      </c>
      <c r="T22">
        <v>8678.0059999999994</v>
      </c>
      <c r="U22">
        <v>-76686.677016907299</v>
      </c>
    </row>
    <row r="23" spans="6:21" x14ac:dyDescent="0.25">
      <c r="F23">
        <v>8680</v>
      </c>
      <c r="G23">
        <v>6143.7179696122303</v>
      </c>
      <c r="I23">
        <v>8679.0059999999994</v>
      </c>
      <c r="J23">
        <v>22908.122636493899</v>
      </c>
      <c r="K23">
        <v>155173.08799036601</v>
      </c>
      <c r="L23">
        <v>232759.63248554899</v>
      </c>
      <c r="N23">
        <v>8679.0059999999994</v>
      </c>
      <c r="O23">
        <v>143109.36883775899</v>
      </c>
      <c r="P23">
        <v>181463.06952738599</v>
      </c>
      <c r="Q23">
        <v>465941.99267336901</v>
      </c>
      <c r="R23">
        <v>141369.55430822301</v>
      </c>
      <c r="T23">
        <v>8679.0059999999994</v>
      </c>
      <c r="U23">
        <v>-76683.653016907294</v>
      </c>
    </row>
    <row r="24" spans="6:21" x14ac:dyDescent="0.25">
      <c r="F24">
        <v>8681</v>
      </c>
      <c r="G24">
        <v>6144.3499696122299</v>
      </c>
      <c r="I24">
        <v>8680.0059999999994</v>
      </c>
      <c r="J24">
        <v>22908.122636493899</v>
      </c>
      <c r="K24">
        <v>155173.08799036601</v>
      </c>
      <c r="L24">
        <v>232759.63248554899</v>
      </c>
      <c r="N24">
        <v>8680.0059999999994</v>
      </c>
      <c r="O24">
        <v>143145.80583775899</v>
      </c>
      <c r="P24">
        <v>181483.97552738601</v>
      </c>
      <c r="Q24">
        <v>466015.62267336901</v>
      </c>
      <c r="R24">
        <v>141385.841308223</v>
      </c>
      <c r="T24">
        <v>8680.0059999999994</v>
      </c>
      <c r="U24">
        <v>-76678.409016907302</v>
      </c>
    </row>
    <row r="25" spans="6:21" x14ac:dyDescent="0.25">
      <c r="F25">
        <v>8682</v>
      </c>
      <c r="G25">
        <v>6144.8469696122302</v>
      </c>
      <c r="I25">
        <v>8681.0059999999994</v>
      </c>
      <c r="J25">
        <v>22908.122636493899</v>
      </c>
      <c r="K25">
        <v>155173.08799036601</v>
      </c>
      <c r="L25">
        <v>232759.63248554899</v>
      </c>
      <c r="N25">
        <v>8681.0059999999994</v>
      </c>
      <c r="O25">
        <v>143209.89383775901</v>
      </c>
      <c r="P25">
        <v>181504.88152738599</v>
      </c>
      <c r="Q25">
        <v>466116.90367336897</v>
      </c>
      <c r="R25">
        <v>141402.12830822301</v>
      </c>
      <c r="T25">
        <v>8681.0059999999994</v>
      </c>
      <c r="U25">
        <v>-76668.460016907295</v>
      </c>
    </row>
    <row r="26" spans="6:21" x14ac:dyDescent="0.25">
      <c r="F26">
        <v>8683</v>
      </c>
      <c r="G26">
        <v>6145.3069696122302</v>
      </c>
      <c r="I26">
        <v>8682.0059999999994</v>
      </c>
      <c r="J26">
        <v>22908.122636493899</v>
      </c>
      <c r="K26">
        <v>155173.08799036601</v>
      </c>
      <c r="L26">
        <v>232759.63248554899</v>
      </c>
      <c r="N26">
        <v>8682.0059999999994</v>
      </c>
      <c r="O26">
        <v>143283.508837759</v>
      </c>
      <c r="P26">
        <v>181525.78652738599</v>
      </c>
      <c r="Q26">
        <v>466227.710673369</v>
      </c>
      <c r="R26">
        <v>141418.41530822299</v>
      </c>
      <c r="T26">
        <v>8682.0059999999994</v>
      </c>
      <c r="U26">
        <v>-76658.585016907295</v>
      </c>
    </row>
    <row r="27" spans="6:21" x14ac:dyDescent="0.25">
      <c r="F27">
        <v>8684</v>
      </c>
      <c r="G27">
        <v>6145.82396961223</v>
      </c>
      <c r="I27">
        <v>8683.0059999999994</v>
      </c>
      <c r="J27">
        <v>22908.122636493899</v>
      </c>
      <c r="K27">
        <v>155173.08799036601</v>
      </c>
      <c r="L27">
        <v>232759.63248554899</v>
      </c>
      <c r="N27">
        <v>8683.0059999999994</v>
      </c>
      <c r="O27">
        <v>143340.23283775899</v>
      </c>
      <c r="P27">
        <v>181546.69252738601</v>
      </c>
      <c r="Q27">
        <v>466321.62767336902</v>
      </c>
      <c r="R27">
        <v>141434.702308223</v>
      </c>
      <c r="T27">
        <v>8683.0059999999994</v>
      </c>
      <c r="U27">
        <v>-76651.081016907294</v>
      </c>
    </row>
    <row r="28" spans="6:21" x14ac:dyDescent="0.25">
      <c r="F28">
        <v>8685</v>
      </c>
      <c r="G28">
        <v>6146.40396961223</v>
      </c>
      <c r="I28">
        <v>8684.0059999999994</v>
      </c>
      <c r="J28">
        <v>22908.122636493899</v>
      </c>
      <c r="K28">
        <v>155173.08799036601</v>
      </c>
      <c r="L28">
        <v>232759.63248554899</v>
      </c>
      <c r="N28">
        <v>8684.0059999999994</v>
      </c>
      <c r="O28">
        <v>143381.17083775901</v>
      </c>
      <c r="P28">
        <v>181567.598527386</v>
      </c>
      <c r="Q28">
        <v>466399.75867336901</v>
      </c>
      <c r="R28">
        <v>141450.98930822301</v>
      </c>
      <c r="T28">
        <v>8684.0059999999994</v>
      </c>
      <c r="U28">
        <v>-76644.631016907297</v>
      </c>
    </row>
    <row r="29" spans="6:21" x14ac:dyDescent="0.25">
      <c r="F29">
        <v>8686</v>
      </c>
      <c r="G29">
        <v>6147.0399696122304</v>
      </c>
      <c r="I29">
        <v>8685.0059999999994</v>
      </c>
      <c r="J29">
        <v>22908.122636493899</v>
      </c>
      <c r="K29">
        <v>155173.08799036601</v>
      </c>
      <c r="L29">
        <v>232759.63248554899</v>
      </c>
      <c r="N29">
        <v>8685.0059999999994</v>
      </c>
      <c r="O29">
        <v>143410.87483775901</v>
      </c>
      <c r="P29">
        <v>181588.50452738599</v>
      </c>
      <c r="Q29">
        <v>466466.65467336902</v>
      </c>
      <c r="R29">
        <v>141467.275308223</v>
      </c>
      <c r="T29">
        <v>8685.0059999999994</v>
      </c>
      <c r="U29">
        <v>-76639.659016907302</v>
      </c>
    </row>
    <row r="30" spans="6:21" x14ac:dyDescent="0.25">
      <c r="F30">
        <v>8687</v>
      </c>
      <c r="G30">
        <v>6147.7689696122297</v>
      </c>
      <c r="I30">
        <v>8686.0059999999994</v>
      </c>
      <c r="J30">
        <v>22908.122636493899</v>
      </c>
      <c r="K30">
        <v>155173.08799036601</v>
      </c>
      <c r="L30">
        <v>232759.63248554899</v>
      </c>
      <c r="N30">
        <v>8686.0059999999994</v>
      </c>
      <c r="O30">
        <v>143429.057837759</v>
      </c>
      <c r="P30">
        <v>181609.410527386</v>
      </c>
      <c r="Q30">
        <v>466522.03067336901</v>
      </c>
      <c r="R30">
        <v>141483.56230822299</v>
      </c>
      <c r="T30">
        <v>8686.0059999999994</v>
      </c>
      <c r="U30">
        <v>-76636.521016907296</v>
      </c>
    </row>
    <row r="31" spans="6:21" x14ac:dyDescent="0.25">
      <c r="F31">
        <v>8688</v>
      </c>
      <c r="G31">
        <v>6148.5099696122297</v>
      </c>
      <c r="I31">
        <v>8687.0059999999994</v>
      </c>
      <c r="J31">
        <v>22908.122636493899</v>
      </c>
      <c r="K31">
        <v>155173.11699036599</v>
      </c>
      <c r="L31">
        <v>232759.675485549</v>
      </c>
      <c r="N31">
        <v>8687.0059999999994</v>
      </c>
      <c r="O31">
        <v>143442.80083775899</v>
      </c>
      <c r="P31">
        <v>181630.31652738599</v>
      </c>
      <c r="Q31">
        <v>466572.966673369</v>
      </c>
      <c r="R31">
        <v>141499.849308223</v>
      </c>
      <c r="T31">
        <v>8687.0059999999994</v>
      </c>
      <c r="U31">
        <v>-76633.375016907303</v>
      </c>
    </row>
    <row r="32" spans="6:21" x14ac:dyDescent="0.25">
      <c r="F32">
        <v>8689</v>
      </c>
      <c r="G32">
        <v>6149.18996961223</v>
      </c>
      <c r="I32">
        <v>8688.0059999999994</v>
      </c>
      <c r="J32">
        <v>22908.122636493899</v>
      </c>
      <c r="K32">
        <v>155173.11699036599</v>
      </c>
      <c r="L32">
        <v>232759.675485549</v>
      </c>
      <c r="N32">
        <v>8688.0059999999994</v>
      </c>
      <c r="O32">
        <v>143458.318837759</v>
      </c>
      <c r="P32">
        <v>181651.22252738601</v>
      </c>
      <c r="Q32">
        <v>466625.67667336902</v>
      </c>
      <c r="R32">
        <v>141516.13630822301</v>
      </c>
      <c r="T32">
        <v>8688.0059999999994</v>
      </c>
      <c r="U32">
        <v>-76629.157016907295</v>
      </c>
    </row>
    <row r="33" spans="6:21" x14ac:dyDescent="0.25">
      <c r="F33">
        <v>8690</v>
      </c>
      <c r="G33">
        <v>6149.8139696122298</v>
      </c>
      <c r="I33">
        <v>8689.0059999999994</v>
      </c>
      <c r="J33">
        <v>22908.122636493899</v>
      </c>
      <c r="K33">
        <v>155173.11699036599</v>
      </c>
      <c r="L33">
        <v>232759.675485549</v>
      </c>
      <c r="N33">
        <v>8689.0059999999994</v>
      </c>
      <c r="O33">
        <v>143474.206837759</v>
      </c>
      <c r="P33">
        <v>181672.128527386</v>
      </c>
      <c r="Q33">
        <v>466678.75767336902</v>
      </c>
      <c r="R33">
        <v>141532.42330822299</v>
      </c>
      <c r="T33">
        <v>8689.0059999999994</v>
      </c>
      <c r="U33">
        <v>-76624.6660169073</v>
      </c>
    </row>
    <row r="34" spans="6:21" x14ac:dyDescent="0.25">
      <c r="F34">
        <v>8691</v>
      </c>
      <c r="G34">
        <v>6150.3539696122298</v>
      </c>
      <c r="I34">
        <v>8690.0059999999994</v>
      </c>
      <c r="J34">
        <v>22908.122636493899</v>
      </c>
      <c r="K34">
        <v>155173.11699036599</v>
      </c>
      <c r="L34">
        <v>232759.675485549</v>
      </c>
      <c r="N34">
        <v>8690.0059999999994</v>
      </c>
      <c r="O34">
        <v>143491.84183775901</v>
      </c>
      <c r="P34">
        <v>181693.03452738599</v>
      </c>
      <c r="Q34">
        <v>466733.585673369</v>
      </c>
      <c r="R34">
        <v>141548.70930822301</v>
      </c>
      <c r="T34">
        <v>8690.0059999999994</v>
      </c>
      <c r="U34">
        <v>-76619.610016907303</v>
      </c>
    </row>
    <row r="35" spans="6:21" x14ac:dyDescent="0.25">
      <c r="F35">
        <v>8692</v>
      </c>
      <c r="G35">
        <v>6150.7929696122301</v>
      </c>
      <c r="I35">
        <v>8691.0059999999994</v>
      </c>
      <c r="J35">
        <v>22908.122636493899</v>
      </c>
      <c r="K35">
        <v>155173.11699036599</v>
      </c>
      <c r="L35">
        <v>232759.675485549</v>
      </c>
      <c r="N35">
        <v>8691.0059999999994</v>
      </c>
      <c r="O35">
        <v>143512.633837759</v>
      </c>
      <c r="P35">
        <v>181713.93952738601</v>
      </c>
      <c r="Q35">
        <v>466791.57067336899</v>
      </c>
      <c r="R35">
        <v>141564.996308223</v>
      </c>
      <c r="T35">
        <v>8691.0059999999994</v>
      </c>
      <c r="U35">
        <v>-76612.796016907305</v>
      </c>
    </row>
    <row r="36" spans="6:21" x14ac:dyDescent="0.25">
      <c r="F36">
        <v>8693</v>
      </c>
      <c r="G36">
        <v>6151.1849696122299</v>
      </c>
      <c r="I36">
        <v>8692.0059999999994</v>
      </c>
      <c r="J36">
        <v>22908.122636493899</v>
      </c>
      <c r="K36">
        <v>155173.11699036599</v>
      </c>
      <c r="L36">
        <v>232759.675485549</v>
      </c>
      <c r="N36">
        <v>8692.0059999999994</v>
      </c>
      <c r="O36">
        <v>143535.128837759</v>
      </c>
      <c r="P36">
        <v>181734.845527386</v>
      </c>
      <c r="Q36">
        <v>466851.25767336902</v>
      </c>
      <c r="R36">
        <v>141581.28330822301</v>
      </c>
      <c r="T36">
        <v>8692.0059999999994</v>
      </c>
      <c r="U36">
        <v>-76604.879016907304</v>
      </c>
    </row>
    <row r="37" spans="6:21" x14ac:dyDescent="0.25">
      <c r="F37">
        <v>8694</v>
      </c>
      <c r="G37">
        <v>6151.4699696122298</v>
      </c>
      <c r="I37">
        <v>8693.0059999999994</v>
      </c>
      <c r="J37">
        <v>22908.122636493899</v>
      </c>
      <c r="K37">
        <v>155173.11699036599</v>
      </c>
      <c r="L37">
        <v>232759.675485549</v>
      </c>
      <c r="N37">
        <v>8693.0059999999994</v>
      </c>
      <c r="O37">
        <v>143565.22983775899</v>
      </c>
      <c r="P37">
        <v>181755.75152738599</v>
      </c>
      <c r="Q37">
        <v>466918.55167336902</v>
      </c>
      <c r="R37">
        <v>141597.57030822299</v>
      </c>
      <c r="T37">
        <v>8693.0059999999994</v>
      </c>
      <c r="U37">
        <v>-76594.502016907296</v>
      </c>
    </row>
    <row r="38" spans="6:21" x14ac:dyDescent="0.25">
      <c r="F38">
        <v>8695</v>
      </c>
      <c r="G38">
        <v>6151.6439696122297</v>
      </c>
      <c r="I38">
        <v>8694.0059999999994</v>
      </c>
      <c r="J38">
        <v>22908.122636493899</v>
      </c>
      <c r="K38">
        <v>155173.11699036599</v>
      </c>
      <c r="L38">
        <v>232759.675485549</v>
      </c>
      <c r="N38">
        <v>8694.0059999999994</v>
      </c>
      <c r="O38">
        <v>143612.41983775899</v>
      </c>
      <c r="P38">
        <v>181776.65752738601</v>
      </c>
      <c r="Q38">
        <v>467002.93467336899</v>
      </c>
      <c r="R38">
        <v>141613.857308223</v>
      </c>
      <c r="T38">
        <v>8694.0059999999994</v>
      </c>
      <c r="U38">
        <v>-76576.758016907304</v>
      </c>
    </row>
    <row r="39" spans="6:21" x14ac:dyDescent="0.25">
      <c r="F39">
        <v>8696</v>
      </c>
      <c r="G39">
        <v>6151.7809696122304</v>
      </c>
      <c r="I39">
        <v>8695.0059999999994</v>
      </c>
      <c r="J39">
        <v>22908.122636493899</v>
      </c>
      <c r="K39">
        <v>155173.11699036599</v>
      </c>
      <c r="L39">
        <v>232759.675485549</v>
      </c>
      <c r="N39">
        <v>8695.0059999999994</v>
      </c>
      <c r="O39">
        <v>143674.679837759</v>
      </c>
      <c r="P39">
        <v>181797.563527386</v>
      </c>
      <c r="Q39">
        <v>467102.38667336898</v>
      </c>
      <c r="R39">
        <v>141630.14430822301</v>
      </c>
      <c r="T39">
        <v>8695.0059999999994</v>
      </c>
      <c r="U39">
        <v>-76551.739016907304</v>
      </c>
    </row>
    <row r="40" spans="6:21" x14ac:dyDescent="0.25">
      <c r="F40">
        <v>8697</v>
      </c>
      <c r="G40">
        <v>6151.9139696122302</v>
      </c>
      <c r="I40">
        <v>8696.0059999999994</v>
      </c>
      <c r="J40">
        <v>22908.122636493899</v>
      </c>
      <c r="K40">
        <v>155173.11699036599</v>
      </c>
      <c r="L40">
        <v>232759.675485549</v>
      </c>
      <c r="N40">
        <v>8696.0059999999994</v>
      </c>
      <c r="O40">
        <v>143747.280837759</v>
      </c>
      <c r="P40">
        <v>181818.46952738601</v>
      </c>
      <c r="Q40">
        <v>467212.18067336897</v>
      </c>
      <c r="R40">
        <v>141646.430308223</v>
      </c>
      <c r="T40">
        <v>8696.0059999999994</v>
      </c>
      <c r="U40">
        <v>-76522.794016907297</v>
      </c>
    </row>
    <row r="41" spans="6:21" x14ac:dyDescent="0.25">
      <c r="F41">
        <v>8698</v>
      </c>
      <c r="G41">
        <v>6152.2459696122296</v>
      </c>
      <c r="I41">
        <v>8697.0059999999994</v>
      </c>
      <c r="J41">
        <v>22908.122636493899</v>
      </c>
      <c r="K41">
        <v>155173.270990366</v>
      </c>
      <c r="L41">
        <v>232759.90548554901</v>
      </c>
      <c r="N41">
        <v>8697.0059999999994</v>
      </c>
      <c r="O41">
        <v>143823.55083775899</v>
      </c>
      <c r="P41">
        <v>181839.375527386</v>
      </c>
      <c r="Q41">
        <v>467325.64367336902</v>
      </c>
      <c r="R41">
        <v>141662.71730822299</v>
      </c>
      <c r="T41">
        <v>8697.0059999999994</v>
      </c>
      <c r="U41">
        <v>-76494.847016907297</v>
      </c>
    </row>
    <row r="42" spans="6:21" x14ac:dyDescent="0.25">
      <c r="F42">
        <v>8699</v>
      </c>
      <c r="G42">
        <v>6153.1499696122301</v>
      </c>
      <c r="I42">
        <v>8698.0059999999994</v>
      </c>
      <c r="J42">
        <v>22908.122636493899</v>
      </c>
      <c r="K42">
        <v>155178.99199036599</v>
      </c>
      <c r="L42">
        <v>232768.48748554901</v>
      </c>
      <c r="N42">
        <v>8698.0059999999994</v>
      </c>
      <c r="O42">
        <v>143858.26083775901</v>
      </c>
      <c r="P42">
        <v>181860.28152738599</v>
      </c>
      <c r="Q42">
        <v>467397.54667336901</v>
      </c>
      <c r="R42">
        <v>141679.004308223</v>
      </c>
      <c r="T42">
        <v>8698.0059999999994</v>
      </c>
      <c r="U42">
        <v>-76490.643016907299</v>
      </c>
    </row>
    <row r="43" spans="6:21" x14ac:dyDescent="0.25">
      <c r="F43">
        <v>8700</v>
      </c>
      <c r="G43">
        <v>6154.1499696122301</v>
      </c>
      <c r="I43">
        <v>8699.0059999999994</v>
      </c>
      <c r="J43">
        <v>22908.122636493899</v>
      </c>
      <c r="K43">
        <v>155190.02999036599</v>
      </c>
      <c r="L43">
        <v>232785.045485549</v>
      </c>
      <c r="N43">
        <v>8699.0059999999994</v>
      </c>
      <c r="O43">
        <v>143875.30183775901</v>
      </c>
      <c r="P43">
        <v>181881.18652738599</v>
      </c>
      <c r="Q43">
        <v>467451.77967336902</v>
      </c>
      <c r="R43">
        <v>141695.29130822301</v>
      </c>
      <c r="T43">
        <v>8699.0059999999994</v>
      </c>
      <c r="U43">
        <v>-76501.412016907299</v>
      </c>
    </row>
    <row r="44" spans="6:21" x14ac:dyDescent="0.25">
      <c r="F44">
        <v>8701</v>
      </c>
      <c r="G44">
        <v>6155.1499696122301</v>
      </c>
      <c r="I44">
        <v>8700.0059999999994</v>
      </c>
      <c r="J44">
        <v>22908.122636493899</v>
      </c>
      <c r="K44">
        <v>155200.03899036601</v>
      </c>
      <c r="L44">
        <v>232800.058485549</v>
      </c>
      <c r="N44">
        <v>8700.0059999999994</v>
      </c>
      <c r="O44">
        <v>143875.38283775901</v>
      </c>
      <c r="P44">
        <v>181902.092527386</v>
      </c>
      <c r="Q44">
        <v>467489.053673369</v>
      </c>
      <c r="R44">
        <v>141711.57830822299</v>
      </c>
      <c r="T44">
        <v>8700.0059999999994</v>
      </c>
      <c r="U44">
        <v>-76517.039016907307</v>
      </c>
    </row>
    <row r="45" spans="6:21" x14ac:dyDescent="0.25">
      <c r="F45">
        <v>8702</v>
      </c>
      <c r="G45">
        <v>6156.1499696122301</v>
      </c>
      <c r="I45">
        <v>8701.0059999999994</v>
      </c>
      <c r="J45">
        <v>22908.122636493899</v>
      </c>
      <c r="K45">
        <v>155205.615990366</v>
      </c>
      <c r="L45">
        <v>232808.42448554901</v>
      </c>
      <c r="N45">
        <v>8701.0059999999994</v>
      </c>
      <c r="O45">
        <v>143885.57083775901</v>
      </c>
      <c r="P45">
        <v>181922.99852738599</v>
      </c>
      <c r="Q45">
        <v>467536.433673369</v>
      </c>
      <c r="R45">
        <v>141727.86430822301</v>
      </c>
      <c r="T45">
        <v>8701.0059999999994</v>
      </c>
      <c r="U45">
        <v>-76521.508016907304</v>
      </c>
    </row>
    <row r="46" spans="6:21" x14ac:dyDescent="0.25">
      <c r="F46">
        <v>8703</v>
      </c>
      <c r="G46">
        <v>6156.7989696122304</v>
      </c>
      <c r="I46">
        <v>8702.0059999999994</v>
      </c>
      <c r="J46">
        <v>22908.122636493899</v>
      </c>
      <c r="K46">
        <v>155206.186990366</v>
      </c>
      <c r="L46">
        <v>232809.27948554899</v>
      </c>
      <c r="N46">
        <v>8702.0059999999994</v>
      </c>
      <c r="O46">
        <v>143918.37983775901</v>
      </c>
      <c r="P46">
        <v>181943.90452738601</v>
      </c>
      <c r="Q46">
        <v>467606.43567336898</v>
      </c>
      <c r="R46">
        <v>141744.15130822299</v>
      </c>
      <c r="T46">
        <v>8702.0059999999994</v>
      </c>
      <c r="U46">
        <v>-76511.296016907305</v>
      </c>
    </row>
    <row r="47" spans="6:21" x14ac:dyDescent="0.25">
      <c r="F47">
        <v>8704</v>
      </c>
      <c r="G47">
        <v>6157.1909696122302</v>
      </c>
      <c r="I47">
        <v>8703.0059999999994</v>
      </c>
      <c r="J47">
        <v>22908.122636493899</v>
      </c>
      <c r="K47">
        <v>155206.186990366</v>
      </c>
      <c r="L47">
        <v>232809.27948554899</v>
      </c>
      <c r="N47">
        <v>8703.0059999999994</v>
      </c>
      <c r="O47">
        <v>143975.19583775901</v>
      </c>
      <c r="P47">
        <v>181964.810527386</v>
      </c>
      <c r="Q47">
        <v>467700.444673369</v>
      </c>
      <c r="R47">
        <v>141760.43830822301</v>
      </c>
      <c r="T47">
        <v>8703.0059999999994</v>
      </c>
      <c r="U47">
        <v>-76495.182016907303</v>
      </c>
    </row>
    <row r="48" spans="6:21" x14ac:dyDescent="0.25">
      <c r="F48">
        <v>8705</v>
      </c>
      <c r="G48">
        <v>6157.5759696122304</v>
      </c>
      <c r="I48">
        <v>8704.0059999999994</v>
      </c>
      <c r="J48">
        <v>22908.122636493899</v>
      </c>
      <c r="K48">
        <v>155206.186990366</v>
      </c>
      <c r="L48">
        <v>232809.27948554899</v>
      </c>
      <c r="N48">
        <v>8704.0059999999994</v>
      </c>
      <c r="O48">
        <v>144050.50483775901</v>
      </c>
      <c r="P48">
        <v>181985.71652738599</v>
      </c>
      <c r="Q48">
        <v>467812.94667336898</v>
      </c>
      <c r="R48">
        <v>141776.72530822299</v>
      </c>
      <c r="T48">
        <v>8704.0059999999994</v>
      </c>
      <c r="U48">
        <v>-76477.0940169073</v>
      </c>
    </row>
    <row r="49" spans="6:21" x14ac:dyDescent="0.25">
      <c r="F49">
        <v>8706</v>
      </c>
      <c r="G49">
        <v>6157.9249696122297</v>
      </c>
      <c r="I49">
        <v>8705.0059999999994</v>
      </c>
      <c r="J49">
        <v>22908.122636493899</v>
      </c>
      <c r="K49">
        <v>155206.186990366</v>
      </c>
      <c r="L49">
        <v>232809.27948554899</v>
      </c>
      <c r="N49">
        <v>8705.0059999999994</v>
      </c>
      <c r="O49">
        <v>144150.94783775901</v>
      </c>
      <c r="P49">
        <v>182006.622527386</v>
      </c>
      <c r="Q49">
        <v>467950.58267336898</v>
      </c>
      <c r="R49">
        <v>141793.012308223</v>
      </c>
      <c r="T49">
        <v>8705.0059999999994</v>
      </c>
      <c r="U49">
        <v>-76454.133016907304</v>
      </c>
    </row>
    <row r="50" spans="6:21" x14ac:dyDescent="0.25">
      <c r="F50">
        <v>8707</v>
      </c>
      <c r="G50">
        <v>6158.2889696122302</v>
      </c>
      <c r="I50">
        <v>8706.0059999999994</v>
      </c>
      <c r="J50">
        <v>22908.122636493899</v>
      </c>
      <c r="K50">
        <v>155206.186990366</v>
      </c>
      <c r="L50">
        <v>232809.27948554899</v>
      </c>
      <c r="N50">
        <v>8706.0059999999994</v>
      </c>
      <c r="O50">
        <v>144251.886837759</v>
      </c>
      <c r="P50">
        <v>182027.52852738599</v>
      </c>
      <c r="Q50">
        <v>468088.71367336903</v>
      </c>
      <c r="R50">
        <v>141809.29830822299</v>
      </c>
      <c r="T50">
        <v>8706.0059999999994</v>
      </c>
      <c r="U50">
        <v>-76434.419016907297</v>
      </c>
    </row>
    <row r="51" spans="6:21" x14ac:dyDescent="0.25">
      <c r="F51">
        <v>8708</v>
      </c>
      <c r="G51">
        <v>6158.7779696122298</v>
      </c>
      <c r="I51">
        <v>8707.0059999999994</v>
      </c>
      <c r="J51">
        <v>22908.122636493899</v>
      </c>
      <c r="K51">
        <v>155206.186990366</v>
      </c>
      <c r="L51">
        <v>232809.27948554899</v>
      </c>
      <c r="N51">
        <v>8707.0059999999994</v>
      </c>
      <c r="O51">
        <v>144312.05083775899</v>
      </c>
      <c r="P51">
        <v>182048.43452738601</v>
      </c>
      <c r="Q51">
        <v>468186.07067336899</v>
      </c>
      <c r="R51">
        <v>141825.585308223</v>
      </c>
      <c r="T51">
        <v>8707.0059999999994</v>
      </c>
      <c r="U51">
        <v>-76423.343016907296</v>
      </c>
    </row>
    <row r="52" spans="6:21" x14ac:dyDescent="0.25">
      <c r="F52">
        <v>8709</v>
      </c>
      <c r="G52">
        <v>6159.3589696122299</v>
      </c>
      <c r="I52">
        <v>8708.0059999999994</v>
      </c>
      <c r="J52">
        <v>22908.122636493899</v>
      </c>
      <c r="K52">
        <v>155206.186990366</v>
      </c>
      <c r="L52">
        <v>232809.27948554899</v>
      </c>
      <c r="N52">
        <v>8708.0059999999994</v>
      </c>
      <c r="O52">
        <v>144348.10783775899</v>
      </c>
      <c r="P52">
        <v>182069.33952738601</v>
      </c>
      <c r="Q52">
        <v>468259.32067336899</v>
      </c>
      <c r="R52">
        <v>141841.87230822301</v>
      </c>
      <c r="T52">
        <v>8708.0059999999994</v>
      </c>
      <c r="U52">
        <v>-76416.235016907303</v>
      </c>
    </row>
    <row r="53" spans="6:21" x14ac:dyDescent="0.25">
      <c r="F53">
        <v>8710</v>
      </c>
      <c r="G53">
        <v>6160.1059696122302</v>
      </c>
      <c r="I53">
        <v>8709.0059999999994</v>
      </c>
      <c r="J53">
        <v>22908.122636493899</v>
      </c>
      <c r="K53">
        <v>155206.186990366</v>
      </c>
      <c r="L53">
        <v>232809.27948554899</v>
      </c>
      <c r="N53">
        <v>8709.0059999999994</v>
      </c>
      <c r="O53">
        <v>144365.62083775899</v>
      </c>
      <c r="P53">
        <v>182090.245527386</v>
      </c>
      <c r="Q53">
        <v>468314.02667336899</v>
      </c>
      <c r="R53">
        <v>141858.159308223</v>
      </c>
      <c r="T53">
        <v>8709.0059999999994</v>
      </c>
      <c r="U53">
        <v>-76412.833016907301</v>
      </c>
    </row>
    <row r="54" spans="6:21" x14ac:dyDescent="0.25">
      <c r="F54">
        <v>8711</v>
      </c>
      <c r="G54">
        <v>6160.9499696122302</v>
      </c>
      <c r="I54">
        <v>8710.0059999999994</v>
      </c>
      <c r="J54">
        <v>22908.122636493899</v>
      </c>
      <c r="K54">
        <v>155206.186990366</v>
      </c>
      <c r="L54">
        <v>232809.27948554899</v>
      </c>
      <c r="N54">
        <v>8710.0059999999994</v>
      </c>
      <c r="O54">
        <v>144375.16983775899</v>
      </c>
      <c r="P54">
        <v>182111.15152738601</v>
      </c>
      <c r="Q54">
        <v>468360.76767336897</v>
      </c>
      <c r="R54">
        <v>141874.44630822301</v>
      </c>
      <c r="T54">
        <v>8710.0059999999994</v>
      </c>
      <c r="U54">
        <v>-76411.080016907305</v>
      </c>
    </row>
    <row r="55" spans="6:21" x14ac:dyDescent="0.25">
      <c r="F55">
        <v>8712</v>
      </c>
      <c r="G55">
        <v>6161.9499696122302</v>
      </c>
      <c r="I55">
        <v>8711.0059999999994</v>
      </c>
      <c r="J55">
        <v>22908.727636493899</v>
      </c>
      <c r="K55">
        <v>155206.186990366</v>
      </c>
      <c r="L55">
        <v>232809.27948554899</v>
      </c>
      <c r="N55">
        <v>8711.0059999999994</v>
      </c>
      <c r="O55">
        <v>144375.16983775899</v>
      </c>
      <c r="P55">
        <v>182132.057527386</v>
      </c>
      <c r="Q55">
        <v>468397.960673369</v>
      </c>
      <c r="R55">
        <v>141890.73330822299</v>
      </c>
      <c r="T55">
        <v>8711.0059999999994</v>
      </c>
      <c r="U55">
        <v>-76411.634016907294</v>
      </c>
    </row>
    <row r="56" spans="6:21" x14ac:dyDescent="0.25">
      <c r="F56">
        <v>8713</v>
      </c>
      <c r="G56">
        <v>6162.9499696122302</v>
      </c>
      <c r="I56">
        <v>8712.0059999999994</v>
      </c>
      <c r="J56">
        <v>22912.280636493899</v>
      </c>
      <c r="K56">
        <v>155206.186990366</v>
      </c>
      <c r="L56">
        <v>232809.27948554899</v>
      </c>
      <c r="N56">
        <v>8712.0059999999994</v>
      </c>
      <c r="O56">
        <v>144375.16983775899</v>
      </c>
      <c r="P56">
        <v>182152.96352738599</v>
      </c>
      <c r="Q56">
        <v>468435.15267336898</v>
      </c>
      <c r="R56">
        <v>141907.01930822301</v>
      </c>
      <c r="T56">
        <v>8712.0059999999994</v>
      </c>
      <c r="U56">
        <v>-76414.208016907301</v>
      </c>
    </row>
    <row r="57" spans="6:21" x14ac:dyDescent="0.25">
      <c r="F57">
        <v>8714</v>
      </c>
      <c r="G57">
        <v>6163.9499696122302</v>
      </c>
      <c r="I57">
        <v>8713.0059999999994</v>
      </c>
      <c r="J57">
        <v>22917.508636494</v>
      </c>
      <c r="K57">
        <v>155206.186990366</v>
      </c>
      <c r="L57">
        <v>232809.27948554899</v>
      </c>
      <c r="N57">
        <v>8713.0059999999994</v>
      </c>
      <c r="O57">
        <v>144375.16983775899</v>
      </c>
      <c r="P57">
        <v>182173.86952738601</v>
      </c>
      <c r="Q57">
        <v>468472.34567336901</v>
      </c>
      <c r="R57">
        <v>141923.30630822299</v>
      </c>
      <c r="T57">
        <v>8713.0059999999994</v>
      </c>
      <c r="U57">
        <v>-76417.653016907294</v>
      </c>
    </row>
    <row r="58" spans="6:21" x14ac:dyDescent="0.25">
      <c r="F58">
        <v>8715</v>
      </c>
      <c r="G58">
        <v>6164.9499696122302</v>
      </c>
      <c r="I58">
        <v>8714.0059999999994</v>
      </c>
      <c r="J58">
        <v>22923.312636494</v>
      </c>
      <c r="K58">
        <v>155206.186990366</v>
      </c>
      <c r="L58">
        <v>232809.27948554899</v>
      </c>
      <c r="N58">
        <v>8714.0059999999994</v>
      </c>
      <c r="O58">
        <v>144375.16983775899</v>
      </c>
      <c r="P58">
        <v>182194.77552738599</v>
      </c>
      <c r="Q58">
        <v>468509.53867336898</v>
      </c>
      <c r="R58">
        <v>141939.593308223</v>
      </c>
      <c r="T58">
        <v>8714.0059999999994</v>
      </c>
      <c r="U58">
        <v>-76421.648016907304</v>
      </c>
    </row>
    <row r="59" spans="6:21" x14ac:dyDescent="0.25">
      <c r="F59">
        <v>8716</v>
      </c>
      <c r="G59">
        <v>6165.9499696122302</v>
      </c>
      <c r="I59">
        <v>8715.0059999999994</v>
      </c>
      <c r="J59">
        <v>22929.961636493899</v>
      </c>
      <c r="K59">
        <v>155206.186990366</v>
      </c>
      <c r="L59">
        <v>232809.27948554899</v>
      </c>
      <c r="N59">
        <v>8715.0059999999994</v>
      </c>
      <c r="O59">
        <v>144375.16983775899</v>
      </c>
      <c r="P59">
        <v>182215.68152738601</v>
      </c>
      <c r="Q59">
        <v>468546.73067336902</v>
      </c>
      <c r="R59">
        <v>141955.88030822299</v>
      </c>
      <c r="T59">
        <v>8715.0059999999994</v>
      </c>
      <c r="U59">
        <v>-76426.851016907298</v>
      </c>
    </row>
    <row r="60" spans="6:21" x14ac:dyDescent="0.25">
      <c r="F60">
        <v>8717</v>
      </c>
      <c r="G60">
        <v>6166.9499696122302</v>
      </c>
      <c r="I60">
        <v>8716.0059999999994</v>
      </c>
      <c r="J60">
        <v>22937.113636493999</v>
      </c>
      <c r="K60">
        <v>155206.186990366</v>
      </c>
      <c r="L60">
        <v>232809.27948554899</v>
      </c>
      <c r="N60">
        <v>8716.0059999999994</v>
      </c>
      <c r="O60">
        <v>144375.16983775899</v>
      </c>
      <c r="P60">
        <v>182236.58652738601</v>
      </c>
      <c r="Q60">
        <v>468583.92367336899</v>
      </c>
      <c r="R60">
        <v>141972.167308223</v>
      </c>
      <c r="T60">
        <v>8716.0059999999994</v>
      </c>
      <c r="U60">
        <v>-76431.699016907296</v>
      </c>
    </row>
    <row r="61" spans="6:21" x14ac:dyDescent="0.25">
      <c r="F61">
        <v>8718</v>
      </c>
      <c r="G61">
        <v>6167.9499696122302</v>
      </c>
      <c r="I61">
        <v>8717.0059999999994</v>
      </c>
      <c r="J61">
        <v>22944.0706364939</v>
      </c>
      <c r="K61">
        <v>155206.19699036601</v>
      </c>
      <c r="L61">
        <v>232809.295485549</v>
      </c>
      <c r="N61">
        <v>8717.0059999999994</v>
      </c>
      <c r="O61">
        <v>144375.15883775899</v>
      </c>
      <c r="P61">
        <v>182257.492527386</v>
      </c>
      <c r="Q61">
        <v>468621.10567336902</v>
      </c>
      <c r="R61">
        <v>141988.45330822299</v>
      </c>
      <c r="T61">
        <v>8717.0059999999994</v>
      </c>
      <c r="U61">
        <v>-76436.129016907304</v>
      </c>
    </row>
    <row r="62" spans="6:21" x14ac:dyDescent="0.25">
      <c r="F62">
        <v>8719</v>
      </c>
      <c r="G62">
        <v>6168.9499696122302</v>
      </c>
      <c r="I62">
        <v>8718.0059999999994</v>
      </c>
      <c r="J62">
        <v>22949.682636493999</v>
      </c>
      <c r="K62">
        <v>155206.19699036601</v>
      </c>
      <c r="L62">
        <v>232809.295485549</v>
      </c>
      <c r="N62">
        <v>8718.0059999999994</v>
      </c>
      <c r="O62">
        <v>144375.15883775899</v>
      </c>
      <c r="P62">
        <v>182278.39852738599</v>
      </c>
      <c r="Q62">
        <v>468658.29867336899</v>
      </c>
      <c r="R62">
        <v>142004.740308223</v>
      </c>
      <c r="T62">
        <v>8718.0059999999994</v>
      </c>
      <c r="U62">
        <v>-76440.027016907305</v>
      </c>
    </row>
    <row r="63" spans="6:21" x14ac:dyDescent="0.25">
      <c r="F63">
        <v>8720</v>
      </c>
      <c r="G63">
        <v>6169.9499696122302</v>
      </c>
      <c r="I63">
        <v>8719.0059999999994</v>
      </c>
      <c r="J63">
        <v>22954.104636493899</v>
      </c>
      <c r="K63">
        <v>155206.21499036599</v>
      </c>
      <c r="L63">
        <v>232809.32148554901</v>
      </c>
      <c r="N63">
        <v>8719.0059999999994</v>
      </c>
      <c r="O63">
        <v>144375.141837759</v>
      </c>
      <c r="P63">
        <v>182299.304527386</v>
      </c>
      <c r="Q63">
        <v>468695.47367336898</v>
      </c>
      <c r="R63">
        <v>142021.02730822301</v>
      </c>
      <c r="T63">
        <v>8719.0059999999994</v>
      </c>
      <c r="U63">
        <v>-76443.8100169073</v>
      </c>
    </row>
    <row r="64" spans="6:21" x14ac:dyDescent="0.25">
      <c r="F64">
        <v>8721</v>
      </c>
      <c r="G64">
        <v>6170.9499696122302</v>
      </c>
      <c r="I64">
        <v>8720.0059999999994</v>
      </c>
      <c r="J64">
        <v>22955.756636493999</v>
      </c>
      <c r="K64">
        <v>155206.21499036599</v>
      </c>
      <c r="L64">
        <v>232809.32148554901</v>
      </c>
      <c r="N64">
        <v>8720.0059999999994</v>
      </c>
      <c r="O64">
        <v>144375.141837759</v>
      </c>
      <c r="P64">
        <v>182320.21052738599</v>
      </c>
      <c r="Q64">
        <v>468732.66667336901</v>
      </c>
      <c r="R64">
        <v>142037.31430822299</v>
      </c>
      <c r="T64">
        <v>8720.0059999999994</v>
      </c>
      <c r="U64">
        <v>-76445.412016907299</v>
      </c>
    </row>
    <row r="65" spans="6:21" x14ac:dyDescent="0.25">
      <c r="F65">
        <v>8722</v>
      </c>
      <c r="G65">
        <v>6171.9499696122302</v>
      </c>
      <c r="I65">
        <v>8721.0059999999994</v>
      </c>
      <c r="J65">
        <v>22956.823636493998</v>
      </c>
      <c r="K65">
        <v>155206.21499036599</v>
      </c>
      <c r="L65">
        <v>232809.32148554901</v>
      </c>
      <c r="N65">
        <v>8721.0059999999994</v>
      </c>
      <c r="O65">
        <v>144375.141837759</v>
      </c>
      <c r="P65">
        <v>182341.11652738601</v>
      </c>
      <c r="Q65">
        <v>468769.85967336898</v>
      </c>
      <c r="R65">
        <v>142053.60130822301</v>
      </c>
      <c r="T65">
        <v>8721.0059999999994</v>
      </c>
      <c r="U65">
        <v>-76446.4310169073</v>
      </c>
    </row>
    <row r="66" spans="6:21" x14ac:dyDescent="0.25">
      <c r="F66">
        <v>8723</v>
      </c>
      <c r="G66">
        <v>6172.9499696122302</v>
      </c>
      <c r="I66">
        <v>8722.0059999999994</v>
      </c>
      <c r="J66">
        <v>22960.576636493999</v>
      </c>
      <c r="K66">
        <v>155206.25099036601</v>
      </c>
      <c r="L66">
        <v>232809.376485549</v>
      </c>
      <c r="N66">
        <v>8722.0059999999994</v>
      </c>
      <c r="O66">
        <v>144375.10583775901</v>
      </c>
      <c r="P66">
        <v>182362.022527386</v>
      </c>
      <c r="Q66">
        <v>468807.01567336899</v>
      </c>
      <c r="R66">
        <v>142069.88830822299</v>
      </c>
      <c r="T66">
        <v>8722.0059999999994</v>
      </c>
      <c r="U66">
        <v>-76449.975016907294</v>
      </c>
    </row>
    <row r="67" spans="6:21" x14ac:dyDescent="0.25">
      <c r="F67">
        <v>8724</v>
      </c>
      <c r="G67">
        <v>6173.9499696122302</v>
      </c>
      <c r="I67">
        <v>8723.0059999999994</v>
      </c>
      <c r="J67">
        <v>22965.251636493998</v>
      </c>
      <c r="K67">
        <v>155206.452990366</v>
      </c>
      <c r="L67">
        <v>232809.67948554899</v>
      </c>
      <c r="N67">
        <v>8723.0059999999994</v>
      </c>
      <c r="O67">
        <v>144374.902837759</v>
      </c>
      <c r="P67">
        <v>182382.92852738599</v>
      </c>
      <c r="Q67">
        <v>468844.00667336897</v>
      </c>
      <c r="R67">
        <v>142086.17430822301</v>
      </c>
      <c r="T67">
        <v>8723.0059999999994</v>
      </c>
      <c r="U67">
        <v>-76454.637016907305</v>
      </c>
    </row>
    <row r="68" spans="6:21" x14ac:dyDescent="0.25">
      <c r="F68">
        <v>8725</v>
      </c>
      <c r="G68">
        <v>6174.9499696122302</v>
      </c>
      <c r="I68">
        <v>8724.0059999999994</v>
      </c>
      <c r="J68">
        <v>22969.950636493999</v>
      </c>
      <c r="K68">
        <v>155207.159990366</v>
      </c>
      <c r="L68">
        <v>232810.73948554901</v>
      </c>
      <c r="N68">
        <v>8724.0059999999994</v>
      </c>
      <c r="O68">
        <v>144374.19683775899</v>
      </c>
      <c r="P68">
        <v>182403.834527386</v>
      </c>
      <c r="Q68">
        <v>468880.49267336901</v>
      </c>
      <c r="R68">
        <v>142102.46130822299</v>
      </c>
      <c r="T68">
        <v>8724.0059999999994</v>
      </c>
      <c r="U68">
        <v>-76459.893016907299</v>
      </c>
    </row>
    <row r="69" spans="6:21" x14ac:dyDescent="0.25">
      <c r="F69">
        <v>8726</v>
      </c>
      <c r="G69">
        <v>6175.9499696122302</v>
      </c>
      <c r="I69">
        <v>8725.0059999999994</v>
      </c>
      <c r="J69">
        <v>22973.128636493999</v>
      </c>
      <c r="K69">
        <v>155207.202990366</v>
      </c>
      <c r="L69">
        <v>232810.80448554899</v>
      </c>
      <c r="N69">
        <v>8725.0059999999994</v>
      </c>
      <c r="O69">
        <v>144374.15383775899</v>
      </c>
      <c r="P69">
        <v>182424.739527386</v>
      </c>
      <c r="Q69">
        <v>468917.64167336898</v>
      </c>
      <c r="R69">
        <v>142118.748308223</v>
      </c>
      <c r="T69">
        <v>8725.0059999999994</v>
      </c>
      <c r="U69">
        <v>-76463.235016907303</v>
      </c>
    </row>
    <row r="70" spans="6:21" x14ac:dyDescent="0.25">
      <c r="F70">
        <v>8727</v>
      </c>
      <c r="G70">
        <v>6176.9499696122302</v>
      </c>
      <c r="I70">
        <v>8726.0059999999994</v>
      </c>
      <c r="J70">
        <v>22974.531636493899</v>
      </c>
      <c r="K70">
        <v>155207.36399036599</v>
      </c>
      <c r="L70">
        <v>232811.04648554901</v>
      </c>
      <c r="N70">
        <v>8726.0059999999994</v>
      </c>
      <c r="O70">
        <v>144373.992837759</v>
      </c>
      <c r="P70">
        <v>182445.64552738599</v>
      </c>
      <c r="Q70">
        <v>468954.67367336899</v>
      </c>
      <c r="R70">
        <v>142135.03530822301</v>
      </c>
      <c r="T70">
        <v>8726.0059999999994</v>
      </c>
      <c r="U70">
        <v>-76464.949016907296</v>
      </c>
    </row>
    <row r="71" spans="6:21" x14ac:dyDescent="0.25">
      <c r="F71">
        <v>8728</v>
      </c>
      <c r="G71">
        <v>6177.6739696122304</v>
      </c>
      <c r="I71">
        <v>8727.0059999999994</v>
      </c>
      <c r="J71">
        <v>22974.531636493899</v>
      </c>
      <c r="K71">
        <v>155207.36399036599</v>
      </c>
      <c r="L71">
        <v>232811.04648554901</v>
      </c>
      <c r="N71">
        <v>8727.0059999999994</v>
      </c>
      <c r="O71">
        <v>144397.71183775901</v>
      </c>
      <c r="P71">
        <v>182466.55152738601</v>
      </c>
      <c r="Q71">
        <v>469015.585673369</v>
      </c>
      <c r="R71">
        <v>142151.322308223</v>
      </c>
      <c r="T71">
        <v>8727.0059999999994</v>
      </c>
      <c r="U71">
        <v>-76458.913016907303</v>
      </c>
    </row>
    <row r="72" spans="6:21" x14ac:dyDescent="0.25">
      <c r="F72">
        <v>8729</v>
      </c>
      <c r="G72">
        <v>6178.26596961223</v>
      </c>
      <c r="I72">
        <v>8728.0059999999994</v>
      </c>
      <c r="J72">
        <v>22974.531636493899</v>
      </c>
      <c r="K72">
        <v>155207.36399036599</v>
      </c>
      <c r="L72">
        <v>232811.04648554901</v>
      </c>
      <c r="N72">
        <v>8728.0059999999994</v>
      </c>
      <c r="O72">
        <v>144438.17283775899</v>
      </c>
      <c r="P72">
        <v>182487.457527386</v>
      </c>
      <c r="Q72">
        <v>469093.23867336899</v>
      </c>
      <c r="R72">
        <v>142167.60830822299</v>
      </c>
      <c r="T72">
        <v>8728.0059999999994</v>
      </c>
      <c r="U72">
        <v>-76448.603016907306</v>
      </c>
    </row>
    <row r="73" spans="6:21" x14ac:dyDescent="0.25">
      <c r="F73">
        <v>8730</v>
      </c>
      <c r="G73">
        <v>6178.7249696122299</v>
      </c>
      <c r="I73">
        <v>8729.0059999999994</v>
      </c>
      <c r="J73">
        <v>22974.531636493899</v>
      </c>
      <c r="K73">
        <v>155207.36399036599</v>
      </c>
      <c r="L73">
        <v>232811.04648554901</v>
      </c>
      <c r="N73">
        <v>8729.0059999999994</v>
      </c>
      <c r="O73">
        <v>144510.78383775899</v>
      </c>
      <c r="P73">
        <v>182508.36352738601</v>
      </c>
      <c r="Q73">
        <v>469203.04367336899</v>
      </c>
      <c r="R73">
        <v>142183.895308223</v>
      </c>
      <c r="T73">
        <v>8729.0059999999994</v>
      </c>
      <c r="U73">
        <v>-76430.0600169073</v>
      </c>
    </row>
    <row r="74" spans="6:21" x14ac:dyDescent="0.25">
      <c r="F74">
        <v>8731</v>
      </c>
      <c r="G74">
        <v>6179.2179696122303</v>
      </c>
      <c r="I74">
        <v>8730.0059999999994</v>
      </c>
      <c r="J74">
        <v>22974.531636493899</v>
      </c>
      <c r="K74">
        <v>155207.36399036599</v>
      </c>
      <c r="L74">
        <v>232811.04648554901</v>
      </c>
      <c r="N74">
        <v>8730.0059999999994</v>
      </c>
      <c r="O74">
        <v>144575.399837759</v>
      </c>
      <c r="P74">
        <v>182529.269527386</v>
      </c>
      <c r="Q74">
        <v>469304.851673369</v>
      </c>
      <c r="R74">
        <v>142200.18230822301</v>
      </c>
      <c r="T74">
        <v>8730.0059999999994</v>
      </c>
      <c r="U74">
        <v>-76413.943016907302</v>
      </c>
    </row>
    <row r="75" spans="6:21" x14ac:dyDescent="0.25">
      <c r="F75">
        <v>8732</v>
      </c>
      <c r="G75">
        <v>6179.7829696122299</v>
      </c>
      <c r="I75">
        <v>8731.0059999999994</v>
      </c>
      <c r="J75">
        <v>22974.531636493899</v>
      </c>
      <c r="K75">
        <v>155207.36399036599</v>
      </c>
      <c r="L75">
        <v>232811.04648554901</v>
      </c>
      <c r="N75">
        <v>8731.0059999999994</v>
      </c>
      <c r="O75">
        <v>144621.38483775899</v>
      </c>
      <c r="P75">
        <v>182550.17552738599</v>
      </c>
      <c r="Q75">
        <v>469388.02967336902</v>
      </c>
      <c r="R75">
        <v>142216.46930822299</v>
      </c>
      <c r="T75">
        <v>8731.0059999999994</v>
      </c>
      <c r="U75">
        <v>-76402.981016907303</v>
      </c>
    </row>
    <row r="76" spans="6:21" x14ac:dyDescent="0.25">
      <c r="F76">
        <v>8733</v>
      </c>
      <c r="G76">
        <v>6180.3179696122297</v>
      </c>
      <c r="I76">
        <v>8732.0059999999994</v>
      </c>
      <c r="J76">
        <v>22974.531636493899</v>
      </c>
      <c r="K76">
        <v>155207.36399036599</v>
      </c>
      <c r="L76">
        <v>232811.04648554901</v>
      </c>
      <c r="N76">
        <v>8732.0059999999994</v>
      </c>
      <c r="O76">
        <v>144670.91183775899</v>
      </c>
      <c r="P76">
        <v>182571.08152738601</v>
      </c>
      <c r="Q76">
        <v>469474.748673369</v>
      </c>
      <c r="R76">
        <v>142232.756308223</v>
      </c>
      <c r="T76">
        <v>8732.0059999999994</v>
      </c>
      <c r="U76">
        <v>-76393.277016907305</v>
      </c>
    </row>
    <row r="77" spans="6:21" x14ac:dyDescent="0.25">
      <c r="F77">
        <v>8734</v>
      </c>
      <c r="G77">
        <v>6180.8669696122297</v>
      </c>
      <c r="I77">
        <v>8733.0059999999994</v>
      </c>
      <c r="J77">
        <v>22974.531636493899</v>
      </c>
      <c r="K77">
        <v>155207.36399036599</v>
      </c>
      <c r="L77">
        <v>232811.04648554901</v>
      </c>
      <c r="N77">
        <v>8733.0059999999994</v>
      </c>
      <c r="O77">
        <v>144715.902837759</v>
      </c>
      <c r="P77">
        <v>182591.98652738601</v>
      </c>
      <c r="Q77">
        <v>469556.93267336901</v>
      </c>
      <c r="R77">
        <v>142249.042308223</v>
      </c>
      <c r="T77">
        <v>8733.0059999999994</v>
      </c>
      <c r="U77">
        <v>-76384.393016907299</v>
      </c>
    </row>
    <row r="78" spans="6:21" x14ac:dyDescent="0.25">
      <c r="F78">
        <v>8735</v>
      </c>
      <c r="G78">
        <v>6181.48896961223</v>
      </c>
      <c r="I78">
        <v>8734.0059999999994</v>
      </c>
      <c r="J78">
        <v>22974.531636493899</v>
      </c>
      <c r="K78">
        <v>155207.36399036599</v>
      </c>
      <c r="L78">
        <v>232811.04648554901</v>
      </c>
      <c r="N78">
        <v>8734.0059999999994</v>
      </c>
      <c r="O78">
        <v>144745.73083775901</v>
      </c>
      <c r="P78">
        <v>182612.89252738599</v>
      </c>
      <c r="Q78">
        <v>469623.95367336902</v>
      </c>
      <c r="R78">
        <v>142265.32930822301</v>
      </c>
      <c r="T78">
        <v>8734.0059999999994</v>
      </c>
      <c r="U78">
        <v>-76378.854016907295</v>
      </c>
    </row>
    <row r="79" spans="6:21" x14ac:dyDescent="0.25">
      <c r="F79">
        <v>8736</v>
      </c>
      <c r="G79">
        <v>6182.2069696122298</v>
      </c>
      <c r="I79">
        <v>8735.0059999999994</v>
      </c>
      <c r="J79">
        <v>22974.531636493899</v>
      </c>
      <c r="K79">
        <v>155207.36399036599</v>
      </c>
      <c r="L79">
        <v>232811.04648554901</v>
      </c>
      <c r="N79">
        <v>8735.0059999999994</v>
      </c>
      <c r="O79">
        <v>144763.61283775899</v>
      </c>
      <c r="P79">
        <v>182633.79852738601</v>
      </c>
      <c r="Q79">
        <v>469679.02767336898</v>
      </c>
      <c r="R79">
        <v>142281.61630822299</v>
      </c>
      <c r="T79">
        <v>8735.0059999999994</v>
      </c>
      <c r="U79">
        <v>-76375.4350169073</v>
      </c>
    </row>
    <row r="80" spans="6:21" x14ac:dyDescent="0.25">
      <c r="F80">
        <v>8737</v>
      </c>
      <c r="G80">
        <v>6183.2069696122298</v>
      </c>
      <c r="I80">
        <v>8736.0059999999994</v>
      </c>
      <c r="J80">
        <v>22974.532636493899</v>
      </c>
      <c r="K80">
        <v>155207.36399036599</v>
      </c>
      <c r="L80">
        <v>232811.04648554901</v>
      </c>
      <c r="N80">
        <v>8736.0059999999994</v>
      </c>
      <c r="O80">
        <v>144763.61283775899</v>
      </c>
      <c r="P80">
        <v>182654.704527386</v>
      </c>
      <c r="Q80">
        <v>469716.22067336901</v>
      </c>
      <c r="R80">
        <v>142297.903308223</v>
      </c>
      <c r="T80">
        <v>8736.0059999999994</v>
      </c>
      <c r="U80">
        <v>-76375.436016907304</v>
      </c>
    </row>
    <row r="81" spans="6:21" x14ac:dyDescent="0.25">
      <c r="F81">
        <v>8738</v>
      </c>
      <c r="G81">
        <v>6184.2069696122298</v>
      </c>
      <c r="I81">
        <v>8737.0059999999994</v>
      </c>
      <c r="J81">
        <v>22976.361636493999</v>
      </c>
      <c r="K81">
        <v>155207.36399036599</v>
      </c>
      <c r="L81">
        <v>232811.04648554901</v>
      </c>
      <c r="N81">
        <v>8737.0059999999994</v>
      </c>
      <c r="O81">
        <v>144763.61283775899</v>
      </c>
      <c r="P81">
        <v>182675.61052738599</v>
      </c>
      <c r="Q81">
        <v>469753.41367336898</v>
      </c>
      <c r="R81">
        <v>142314.19030822301</v>
      </c>
      <c r="T81">
        <v>8737.0059999999994</v>
      </c>
      <c r="U81">
        <v>-76377.008016907304</v>
      </c>
    </row>
    <row r="82" spans="6:21" x14ac:dyDescent="0.25">
      <c r="F82">
        <v>8739</v>
      </c>
      <c r="G82">
        <v>6185.2069696122298</v>
      </c>
      <c r="I82">
        <v>8738.0059999999994</v>
      </c>
      <c r="J82">
        <v>22978.501636493998</v>
      </c>
      <c r="K82">
        <v>155207.36399036599</v>
      </c>
      <c r="L82">
        <v>232811.04648554901</v>
      </c>
      <c r="N82">
        <v>8738.0059999999994</v>
      </c>
      <c r="O82">
        <v>144763.61283775899</v>
      </c>
      <c r="P82">
        <v>182696.516527386</v>
      </c>
      <c r="Q82">
        <v>469790.60567336902</v>
      </c>
      <c r="R82">
        <v>142330.47730822299</v>
      </c>
      <c r="T82">
        <v>8738.0059999999994</v>
      </c>
      <c r="U82">
        <v>-76378.911016907296</v>
      </c>
    </row>
    <row r="83" spans="6:21" x14ac:dyDescent="0.25">
      <c r="F83">
        <v>8740</v>
      </c>
      <c r="G83">
        <v>6186.2069696122298</v>
      </c>
      <c r="I83">
        <v>8739.0059999999994</v>
      </c>
      <c r="J83">
        <v>22981.490636494</v>
      </c>
      <c r="K83">
        <v>155207.36399036599</v>
      </c>
      <c r="L83">
        <v>232811.04648554901</v>
      </c>
      <c r="N83">
        <v>8739.0059999999994</v>
      </c>
      <c r="O83">
        <v>144763.61283775899</v>
      </c>
      <c r="P83">
        <v>182717.42252738599</v>
      </c>
      <c r="Q83">
        <v>469827.79867336899</v>
      </c>
      <c r="R83">
        <v>142346.76330822299</v>
      </c>
      <c r="T83">
        <v>8739.0059999999994</v>
      </c>
      <c r="U83">
        <v>-76381.5600169073</v>
      </c>
    </row>
    <row r="84" spans="6:21" x14ac:dyDescent="0.25">
      <c r="F84">
        <v>8741</v>
      </c>
      <c r="G84">
        <v>6187.2069696122298</v>
      </c>
      <c r="I84">
        <v>8740.0059999999994</v>
      </c>
      <c r="J84">
        <v>22984.869636493899</v>
      </c>
      <c r="K84">
        <v>155207.36399036599</v>
      </c>
      <c r="L84">
        <v>232811.04648554901</v>
      </c>
      <c r="N84">
        <v>8740.0059999999994</v>
      </c>
      <c r="O84">
        <v>144763.61283775899</v>
      </c>
      <c r="P84">
        <v>182738.32852738601</v>
      </c>
      <c r="Q84">
        <v>469864.99167336902</v>
      </c>
      <c r="R84">
        <v>142363.050308223</v>
      </c>
      <c r="T84">
        <v>8740.0059999999994</v>
      </c>
      <c r="U84">
        <v>-76384.365016907293</v>
      </c>
    </row>
    <row r="85" spans="6:21" x14ac:dyDescent="0.25">
      <c r="F85">
        <v>8742</v>
      </c>
      <c r="G85">
        <v>6188.2069696122298</v>
      </c>
      <c r="I85">
        <v>8741.0059999999994</v>
      </c>
      <c r="J85">
        <v>22987.906636493899</v>
      </c>
      <c r="K85">
        <v>155207.36399036599</v>
      </c>
      <c r="L85">
        <v>232811.04648554901</v>
      </c>
      <c r="N85">
        <v>8741.0059999999994</v>
      </c>
      <c r="O85">
        <v>144763.61283775899</v>
      </c>
      <c r="P85">
        <v>182759.234527386</v>
      </c>
      <c r="Q85">
        <v>469902.18467336899</v>
      </c>
      <c r="R85">
        <v>142379.33730822301</v>
      </c>
      <c r="T85">
        <v>8741.0059999999994</v>
      </c>
      <c r="U85">
        <v>-76386.855016907299</v>
      </c>
    </row>
    <row r="86" spans="6:21" x14ac:dyDescent="0.25">
      <c r="F86">
        <v>8743</v>
      </c>
      <c r="G86">
        <v>6189.2069696122298</v>
      </c>
      <c r="I86">
        <v>8742.0059999999994</v>
      </c>
      <c r="J86">
        <v>22990.040636493999</v>
      </c>
      <c r="K86">
        <v>155207.36399036599</v>
      </c>
      <c r="L86">
        <v>232811.04648554901</v>
      </c>
      <c r="N86">
        <v>8742.0059999999994</v>
      </c>
      <c r="O86">
        <v>144763.61283775899</v>
      </c>
      <c r="P86">
        <v>182780.139527386</v>
      </c>
      <c r="Q86">
        <v>469939.37667336903</v>
      </c>
      <c r="R86">
        <v>142395.62430822299</v>
      </c>
      <c r="T86">
        <v>8742.0059999999994</v>
      </c>
      <c r="U86">
        <v>-76388.5600169073</v>
      </c>
    </row>
    <row r="87" spans="6:21" x14ac:dyDescent="0.25">
      <c r="F87">
        <v>8744</v>
      </c>
      <c r="G87">
        <v>6190.2069696122298</v>
      </c>
      <c r="I87">
        <v>8743.0059999999994</v>
      </c>
      <c r="J87">
        <v>22990.582636493898</v>
      </c>
      <c r="K87">
        <v>155207.36399036599</v>
      </c>
      <c r="L87">
        <v>232811.04648554901</v>
      </c>
      <c r="N87">
        <v>8743.0059999999994</v>
      </c>
      <c r="O87">
        <v>144763.61283775899</v>
      </c>
      <c r="P87">
        <v>182801.04552738601</v>
      </c>
      <c r="Q87">
        <v>469976.569673369</v>
      </c>
      <c r="R87">
        <v>142411.911308223</v>
      </c>
      <c r="T87">
        <v>8743.0059999999994</v>
      </c>
      <c r="U87">
        <v>-76388.993016907305</v>
      </c>
    </row>
    <row r="88" spans="6:21" x14ac:dyDescent="0.25">
      <c r="F88">
        <v>8745</v>
      </c>
      <c r="G88">
        <v>6191.06496961223</v>
      </c>
      <c r="I88">
        <v>8744.0059999999994</v>
      </c>
      <c r="J88">
        <v>22990.582636493898</v>
      </c>
      <c r="K88">
        <v>155207.36399036599</v>
      </c>
      <c r="L88">
        <v>232811.04648554901</v>
      </c>
      <c r="N88">
        <v>8744.0059999999994</v>
      </c>
      <c r="O88">
        <v>144773.44183775899</v>
      </c>
      <c r="P88">
        <v>182821.951527386</v>
      </c>
      <c r="Q88">
        <v>470023.591673369</v>
      </c>
      <c r="R88">
        <v>142428.197308223</v>
      </c>
      <c r="T88">
        <v>8744.0059999999994</v>
      </c>
      <c r="U88">
        <v>-76387.227016907302</v>
      </c>
    </row>
    <row r="89" spans="6:21" x14ac:dyDescent="0.25">
      <c r="F89">
        <v>8746</v>
      </c>
      <c r="G89">
        <v>6191.90396961223</v>
      </c>
      <c r="I89">
        <v>8745.0059999999994</v>
      </c>
      <c r="J89">
        <v>22990.582636493898</v>
      </c>
      <c r="K89">
        <v>155207.36399036599</v>
      </c>
      <c r="L89">
        <v>232811.04648554901</v>
      </c>
      <c r="N89">
        <v>8745.0059999999994</v>
      </c>
      <c r="O89">
        <v>144785.187837759</v>
      </c>
      <c r="P89">
        <v>182842.85752738599</v>
      </c>
      <c r="Q89">
        <v>470072.52967336902</v>
      </c>
      <c r="R89">
        <v>142444.48430822301</v>
      </c>
      <c r="T89">
        <v>8745.0059999999994</v>
      </c>
      <c r="U89">
        <v>-76385.081016907294</v>
      </c>
    </row>
    <row r="90" spans="6:21" x14ac:dyDescent="0.25">
      <c r="F90">
        <v>8747</v>
      </c>
      <c r="G90">
        <v>6192.7599696122297</v>
      </c>
      <c r="I90">
        <v>8746.0059999999994</v>
      </c>
      <c r="J90">
        <v>22990.582636493898</v>
      </c>
      <c r="K90">
        <v>155207.36399036599</v>
      </c>
      <c r="L90">
        <v>232811.04648554901</v>
      </c>
      <c r="N90">
        <v>8746.0059999999994</v>
      </c>
      <c r="O90">
        <v>144795.655837759</v>
      </c>
      <c r="P90">
        <v>182863.76352738601</v>
      </c>
      <c r="Q90">
        <v>470120.19067336898</v>
      </c>
      <c r="R90">
        <v>142460.77130822299</v>
      </c>
      <c r="T90">
        <v>8746.0059999999994</v>
      </c>
      <c r="U90">
        <v>-76383.218016907296</v>
      </c>
    </row>
    <row r="91" spans="6:21" x14ac:dyDescent="0.25">
      <c r="F91">
        <v>8748</v>
      </c>
      <c r="G91">
        <v>6193.5489696122304</v>
      </c>
      <c r="I91">
        <v>8747.0059999999994</v>
      </c>
      <c r="J91">
        <v>22990.582636493898</v>
      </c>
      <c r="K91">
        <v>155207.36399036599</v>
      </c>
      <c r="L91">
        <v>232811.04648554901</v>
      </c>
      <c r="N91">
        <v>8747.0059999999994</v>
      </c>
      <c r="O91">
        <v>144812.136837759</v>
      </c>
      <c r="P91">
        <v>182884.669527386</v>
      </c>
      <c r="Q91">
        <v>470173.86467336898</v>
      </c>
      <c r="R91">
        <v>142477.058308223</v>
      </c>
      <c r="T91">
        <v>8747.0059999999994</v>
      </c>
      <c r="U91">
        <v>-76380.256016907297</v>
      </c>
    </row>
    <row r="92" spans="6:21" x14ac:dyDescent="0.25">
      <c r="F92">
        <v>8749</v>
      </c>
      <c r="G92">
        <v>6194.5489696122304</v>
      </c>
      <c r="I92">
        <v>8748.0059999999994</v>
      </c>
      <c r="J92">
        <v>22992.393636493998</v>
      </c>
      <c r="K92">
        <v>155208.61199036599</v>
      </c>
      <c r="L92">
        <v>232812.91848554899</v>
      </c>
      <c r="N92">
        <v>8748.0059999999994</v>
      </c>
      <c r="O92">
        <v>144810.888837759</v>
      </c>
      <c r="P92">
        <v>182905.57552738601</v>
      </c>
      <c r="Q92">
        <v>470209.808673369</v>
      </c>
      <c r="R92">
        <v>142493.34530822301</v>
      </c>
      <c r="T92">
        <v>8748.0059999999994</v>
      </c>
      <c r="U92">
        <v>-76382.998016907295</v>
      </c>
    </row>
    <row r="93" spans="6:21" x14ac:dyDescent="0.25">
      <c r="F93">
        <v>8750</v>
      </c>
      <c r="G93">
        <v>6195.5319696122297</v>
      </c>
      <c r="I93">
        <v>8749.0059999999994</v>
      </c>
      <c r="J93">
        <v>22992.393636493998</v>
      </c>
      <c r="K93">
        <v>155208.824990366</v>
      </c>
      <c r="L93">
        <v>232813.23848554899</v>
      </c>
      <c r="N93">
        <v>8749.0059999999994</v>
      </c>
      <c r="O93">
        <v>144813.16183775899</v>
      </c>
      <c r="P93">
        <v>182926.481527386</v>
      </c>
      <c r="Q93">
        <v>470249.27467336901</v>
      </c>
      <c r="R93">
        <v>142509.63230822299</v>
      </c>
      <c r="T93">
        <v>8749.0059999999994</v>
      </c>
      <c r="U93">
        <v>-76382.749016907299</v>
      </c>
    </row>
    <row r="94" spans="6:21" x14ac:dyDescent="0.25">
      <c r="F94">
        <v>8751</v>
      </c>
      <c r="G94">
        <v>6196.5319696122297</v>
      </c>
      <c r="I94">
        <v>8750.0059999999994</v>
      </c>
      <c r="J94">
        <v>22993.056636493999</v>
      </c>
      <c r="K94">
        <v>155209.10899036599</v>
      </c>
      <c r="L94">
        <v>232813.66348554901</v>
      </c>
      <c r="N94">
        <v>8750.0059999999994</v>
      </c>
      <c r="O94">
        <v>144812.878837759</v>
      </c>
      <c r="P94">
        <v>182947.38752738599</v>
      </c>
      <c r="Q94">
        <v>470286.183673369</v>
      </c>
      <c r="R94">
        <v>142525.91830822299</v>
      </c>
      <c r="T94">
        <v>8750.0059999999994</v>
      </c>
      <c r="U94">
        <v>-76383.574016907296</v>
      </c>
    </row>
    <row r="95" spans="6:21" x14ac:dyDescent="0.25">
      <c r="F95">
        <v>8752</v>
      </c>
      <c r="G95">
        <v>6197.5319696122297</v>
      </c>
      <c r="I95">
        <v>8751.0059999999994</v>
      </c>
      <c r="J95">
        <v>22993.056636493999</v>
      </c>
      <c r="K95">
        <v>155209.447990366</v>
      </c>
      <c r="L95">
        <v>232814.172485549</v>
      </c>
      <c r="N95">
        <v>8751.0059999999994</v>
      </c>
      <c r="O95">
        <v>144814.223837759</v>
      </c>
      <c r="P95">
        <v>182968.29252738599</v>
      </c>
      <c r="Q95">
        <v>470324.72267336899</v>
      </c>
      <c r="R95">
        <v>142542.205308223</v>
      </c>
      <c r="T95">
        <v>8751.0059999999994</v>
      </c>
      <c r="U95">
        <v>-76383.576016907304</v>
      </c>
    </row>
    <row r="96" spans="6:21" x14ac:dyDescent="0.25">
      <c r="F96">
        <v>8753</v>
      </c>
      <c r="G96">
        <v>6198.3939696122297</v>
      </c>
      <c r="I96">
        <v>8752.0059999999994</v>
      </c>
      <c r="J96">
        <v>22993.056636493999</v>
      </c>
      <c r="K96">
        <v>155209.615990366</v>
      </c>
      <c r="L96">
        <v>232814.42448554901</v>
      </c>
      <c r="N96">
        <v>8752.0059999999994</v>
      </c>
      <c r="O96">
        <v>144830.17083775901</v>
      </c>
      <c r="P96">
        <v>182989.198527386</v>
      </c>
      <c r="Q96">
        <v>470377.86167336901</v>
      </c>
      <c r="R96">
        <v>142558.49230822301</v>
      </c>
      <c r="T96">
        <v>8752.0059999999994</v>
      </c>
      <c r="U96">
        <v>-76381.182016907303</v>
      </c>
    </row>
    <row r="97" spans="6:21" x14ac:dyDescent="0.25">
      <c r="F97">
        <v>8754</v>
      </c>
      <c r="G97">
        <v>6199.1129696122298</v>
      </c>
      <c r="I97">
        <v>8753.0059999999994</v>
      </c>
      <c r="J97">
        <v>22993.056636493999</v>
      </c>
      <c r="K97">
        <v>155209.83199036599</v>
      </c>
      <c r="L97">
        <v>232814.748485549</v>
      </c>
      <c r="N97">
        <v>8753.0059999999994</v>
      </c>
      <c r="O97">
        <v>144869.598837759</v>
      </c>
      <c r="P97">
        <v>183010.10452738599</v>
      </c>
      <c r="Q97">
        <v>470454.482673369</v>
      </c>
      <c r="R97">
        <v>142574.77930822299</v>
      </c>
      <c r="T97">
        <v>8753.0059999999994</v>
      </c>
      <c r="U97">
        <v>-76374.989016907304</v>
      </c>
    </row>
    <row r="98" spans="6:21" x14ac:dyDescent="0.25">
      <c r="F98">
        <v>8755</v>
      </c>
      <c r="G98">
        <v>6199.8349696122305</v>
      </c>
      <c r="I98">
        <v>8754.0059999999994</v>
      </c>
      <c r="J98">
        <v>22993.056636493999</v>
      </c>
      <c r="K98">
        <v>155209.99199036599</v>
      </c>
      <c r="L98">
        <v>232814.98848554899</v>
      </c>
      <c r="N98">
        <v>8754.0059999999994</v>
      </c>
      <c r="O98">
        <v>144907.15983775901</v>
      </c>
      <c r="P98">
        <v>183031.01052738601</v>
      </c>
      <c r="Q98">
        <v>470529.23667336901</v>
      </c>
      <c r="R98">
        <v>142591.066308223</v>
      </c>
      <c r="T98">
        <v>8754.0059999999994</v>
      </c>
      <c r="U98">
        <v>-76369.178016907303</v>
      </c>
    </row>
    <row r="99" spans="6:21" x14ac:dyDescent="0.25">
      <c r="F99">
        <v>8756</v>
      </c>
      <c r="G99">
        <v>6200.7369696122296</v>
      </c>
      <c r="I99">
        <v>8755.0059999999994</v>
      </c>
      <c r="J99">
        <v>22993.056636493999</v>
      </c>
      <c r="K99">
        <v>155210.06099036601</v>
      </c>
      <c r="L99">
        <v>232815.091485549</v>
      </c>
      <c r="N99">
        <v>8755.0059999999994</v>
      </c>
      <c r="O99">
        <v>144917.486837759</v>
      </c>
      <c r="P99">
        <v>183051.916527386</v>
      </c>
      <c r="Q99">
        <v>470576.75667336897</v>
      </c>
      <c r="R99">
        <v>142607.35230822299</v>
      </c>
      <c r="T99">
        <v>8755.0059999999994</v>
      </c>
      <c r="U99">
        <v>-76367.728016907306</v>
      </c>
    </row>
    <row r="100" spans="6:21" x14ac:dyDescent="0.25">
      <c r="F100">
        <v>8757</v>
      </c>
      <c r="G100">
        <v>6201.5719696122296</v>
      </c>
      <c r="I100">
        <v>8756.0059999999994</v>
      </c>
      <c r="J100">
        <v>22993.056636493999</v>
      </c>
      <c r="K100">
        <v>155210.156990366</v>
      </c>
      <c r="L100">
        <v>232815.235485549</v>
      </c>
      <c r="N100">
        <v>8756.0059999999994</v>
      </c>
      <c r="O100">
        <v>144935.46683775901</v>
      </c>
      <c r="P100">
        <v>183072.82252738599</v>
      </c>
      <c r="Q100">
        <v>470631.928673369</v>
      </c>
      <c r="R100">
        <v>142623.63930822301</v>
      </c>
      <c r="T100">
        <v>8756.0059999999994</v>
      </c>
      <c r="U100">
        <v>-76365.205016907305</v>
      </c>
    </row>
    <row r="101" spans="6:21" x14ac:dyDescent="0.25">
      <c r="F101">
        <v>8758</v>
      </c>
      <c r="G101">
        <v>6202.5299696122302</v>
      </c>
      <c r="I101">
        <v>8757.0059999999994</v>
      </c>
      <c r="J101">
        <v>22993.056636493999</v>
      </c>
      <c r="K101">
        <v>155210.216990366</v>
      </c>
      <c r="L101">
        <v>232815.32548554899</v>
      </c>
      <c r="N101">
        <v>8757.0059999999994</v>
      </c>
      <c r="O101">
        <v>144939.35483775899</v>
      </c>
      <c r="P101">
        <v>183093.728527386</v>
      </c>
      <c r="Q101">
        <v>470673.009673369</v>
      </c>
      <c r="R101">
        <v>142639.92630822299</v>
      </c>
      <c r="T101">
        <v>8757.0059999999994</v>
      </c>
      <c r="U101">
        <v>-76364.688016907297</v>
      </c>
    </row>
    <row r="102" spans="6:21" x14ac:dyDescent="0.25">
      <c r="F102">
        <v>8759</v>
      </c>
      <c r="G102">
        <v>6203.4009696122303</v>
      </c>
      <c r="I102">
        <v>8758.0059999999994</v>
      </c>
      <c r="J102">
        <v>22993.056636493999</v>
      </c>
      <c r="K102">
        <v>155210.216990366</v>
      </c>
      <c r="L102">
        <v>232815.32548554899</v>
      </c>
      <c r="N102">
        <v>8758.0059999999994</v>
      </c>
      <c r="O102">
        <v>144949.19183775899</v>
      </c>
      <c r="P102">
        <v>183114.63452738599</v>
      </c>
      <c r="Q102">
        <v>470720.03867336898</v>
      </c>
      <c r="R102">
        <v>142656.213308223</v>
      </c>
      <c r="T102">
        <v>8758.0059999999994</v>
      </c>
      <c r="U102">
        <v>-76363.260016907298</v>
      </c>
    </row>
    <row r="103" spans="6:21" x14ac:dyDescent="0.25">
      <c r="F103">
        <v>8760</v>
      </c>
      <c r="G103">
        <v>6204.3919696122302</v>
      </c>
      <c r="I103">
        <v>8759.0059999999994</v>
      </c>
      <c r="J103">
        <v>22993.056636493999</v>
      </c>
      <c r="K103">
        <v>155210.221990366</v>
      </c>
      <c r="L103">
        <v>232815.333485549</v>
      </c>
      <c r="N103">
        <v>8759.0059999999994</v>
      </c>
      <c r="O103">
        <v>144949.77883775899</v>
      </c>
      <c r="P103">
        <v>183135.53952738599</v>
      </c>
      <c r="Q103">
        <v>470757.81867336901</v>
      </c>
      <c r="R103">
        <v>142672.50030822301</v>
      </c>
      <c r="T103">
        <v>8759.0059999999994</v>
      </c>
      <c r="U103">
        <v>-76363.171016907305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0894BD22C5BB94287C158BAA75D4492" ma:contentTypeVersion="10" ma:contentTypeDescription="Opret et nyt dokument." ma:contentTypeScope="" ma:versionID="3100dfb44fd285ab556d52c28b316184">
  <xsd:schema xmlns:xsd="http://www.w3.org/2001/XMLSchema" xmlns:xs="http://www.w3.org/2001/XMLSchema" xmlns:p="http://schemas.microsoft.com/office/2006/metadata/properties" xmlns:ns2="1a790dc2-4f13-462c-9ab3-5ea14411e6a8" xmlns:ns3="21cfcb95-6f87-47e9-91d2-bbe8f627197d" targetNamespace="http://schemas.microsoft.com/office/2006/metadata/properties" ma:root="true" ma:fieldsID="dbd257e20f8f1c03e38cb91569be7ecb" ns2:_="" ns3:_="">
    <xsd:import namespace="1a790dc2-4f13-462c-9ab3-5ea14411e6a8"/>
    <xsd:import namespace="21cfcb95-6f87-47e9-91d2-bbe8f6271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90dc2-4f13-462c-9ab3-5ea14411e6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f9553f63-5966-4a09-978d-72b299aea1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fcb95-6f87-47e9-91d2-bbe8f62719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46f2542-1f0d-4283-ad4d-1fb9b72b052b}" ma:internalName="TaxCatchAll" ma:showField="CatchAllData" ma:web="21cfcb95-6f87-47e9-91d2-bbe8f6271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790dc2-4f13-462c-9ab3-5ea14411e6a8">
      <Terms xmlns="http://schemas.microsoft.com/office/infopath/2007/PartnerControls"/>
    </lcf76f155ced4ddcb4097134ff3c332f>
    <TaxCatchAll xmlns="21cfcb95-6f87-47e9-91d2-bbe8f627197d" xsi:nil="true"/>
  </documentManagement>
</p:properties>
</file>

<file path=customXml/itemProps1.xml><?xml version="1.0" encoding="utf-8"?>
<ds:datastoreItem xmlns:ds="http://schemas.openxmlformats.org/officeDocument/2006/customXml" ds:itemID="{85328B06-89C0-4929-85C3-2DA755E3DE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790dc2-4f13-462c-9ab3-5ea14411e6a8"/>
    <ds:schemaRef ds:uri="21cfcb95-6f87-47e9-91d2-bbe8f6271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D696B2-D53D-437E-A9CE-E42FB59E84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FA8853-9B2D-4B49-AF08-F7CCC0293DFA}">
  <ds:schemaRefs>
    <ds:schemaRef ds:uri="http://www.w3.org/XML/1998/namespace"/>
    <ds:schemaRef ds:uri="http://schemas.microsoft.com/office/2006/metadata/properties"/>
    <ds:schemaRef ds:uri="http://purl.org/dc/elements/1.1/"/>
    <ds:schemaRef ds:uri="1a790dc2-4f13-462c-9ab3-5ea14411e6a8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1cfcb95-6f87-47e9-91d2-bbe8f627197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Calculations</vt:lpstr>
      <vt:lpstr>Overview</vt:lpstr>
      <vt:lpstr>Old Calculations</vt:lpstr>
      <vt:lpstr>Base case</vt:lpstr>
      <vt:lpstr>Base -20%</vt:lpstr>
      <vt:lpstr>Scenario 1</vt:lpstr>
      <vt:lpstr>Scenario 1 +20%</vt:lpstr>
      <vt:lpstr>Scenario 2</vt:lpstr>
      <vt:lpstr>Scenario 2 -20%</vt:lpstr>
      <vt:lpstr>Scenario 2 +20%</vt:lpstr>
      <vt:lpstr>Scenario 3</vt:lpstr>
      <vt:lpstr>Scenario 3 -20%</vt:lpstr>
      <vt:lpstr>Scenario 3 +20%</vt:lpstr>
      <vt:lpstr>Scenario 4</vt:lpstr>
      <vt:lpstr>Scenario -20%</vt:lpstr>
      <vt:lpstr>Scenario +20%</vt:lpstr>
      <vt:lpstr>Scenario 5</vt:lpstr>
      <vt:lpstr>Scenario 5 -20%</vt:lpstr>
      <vt:lpstr>Scenario 5 +20</vt:lpstr>
      <vt:lpstr>Basecase updated1</vt:lpstr>
      <vt:lpstr>Scenario 1 Updated</vt:lpstr>
      <vt:lpstr>Scenario 2 Updated</vt:lpstr>
      <vt:lpstr>Scenario 3 Updated</vt:lpstr>
      <vt:lpstr>Scenario 4 Updated</vt:lpstr>
      <vt:lpstr>Scenario 5 Updated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2025-12-06T15:40:01Z</dcterms:created>
  <dcterms:modified xsi:type="dcterms:W3CDTF">2025-12-31T10:24:15Z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0x01010050894BD22C5BB94287C158BAA75D4492</vt:lpwstr>
  </property>
  <property fmtid="{D5CDD505-2E9C-101B-9397-08002B2CF9AE}" pid="3" name="MediaServiceImageTags">
    <vt:lpwstr/>
  </property>
</Properties>
</file>